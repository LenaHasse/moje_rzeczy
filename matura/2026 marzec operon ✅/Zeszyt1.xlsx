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c739371032d689/Pulpit/"/>
    </mc:Choice>
  </mc:AlternateContent>
  <xr:revisionPtr revIDLastSave="0" documentId="8_{3FBA08AF-C2EC-4F95-AD0C-62F2ACA08D58}" xr6:coauthVersionLast="47" xr6:coauthVersionMax="47" xr10:uidLastSave="{00000000-0000-0000-0000-000000000000}"/>
  <bookViews>
    <workbookView xWindow="-120" yWindow="-120" windowWidth="38640" windowHeight="21120" activeTab="4" xr2:uid="{BAE695CC-B84F-4E19-B512-F8F4278DA977}"/>
  </bookViews>
  <sheets>
    <sheet name="kopalnie" sheetId="2" r:id="rId1"/>
    <sheet name="zad1" sheetId="3" r:id="rId2"/>
    <sheet name="zad2" sheetId="4" r:id="rId3"/>
    <sheet name="zad3" sheetId="5" r:id="rId4"/>
    <sheet name="zad4" sheetId="6" r:id="rId5"/>
  </sheets>
  <calcPr calcId="191029"/>
  <pivotCaches>
    <pivotCache cacheId="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6" l="1"/>
  <c r="I3" i="6"/>
  <c r="J4" i="6"/>
  <c r="J3" i="6"/>
  <c r="G2" i="6"/>
  <c r="J2" i="6"/>
  <c r="I2" i="6"/>
  <c r="F2" i="6" s="1"/>
  <c r="E43" i="4"/>
  <c r="G3" i="4"/>
  <c r="F3" i="4"/>
  <c r="E3" i="4"/>
  <c r="G2" i="4"/>
  <c r="G184" i="4" s="1"/>
  <c r="F2" i="4"/>
  <c r="E2" i="4"/>
  <c r="E183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G2" i="3"/>
  <c r="F2" i="3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2" i="3"/>
  <c r="G3" i="6" l="1"/>
  <c r="G4" i="6" s="1"/>
  <c r="J5" i="6" s="1"/>
  <c r="G5" i="6" s="1"/>
  <c r="F3" i="6"/>
  <c r="I4" i="6" s="1"/>
  <c r="F4" i="6" s="1"/>
  <c r="I5" i="6" s="1"/>
  <c r="F5" i="6" s="1"/>
  <c r="E2" i="6"/>
  <c r="F184" i="4"/>
  <c r="E184" i="4"/>
  <c r="H184" i="3"/>
  <c r="F184" i="3"/>
  <c r="G184" i="3"/>
  <c r="K2" i="6" l="1"/>
  <c r="H3" i="6"/>
  <c r="J6" i="6"/>
  <c r="G6" i="6"/>
  <c r="I6" i="6"/>
  <c r="F6" i="6" s="1"/>
  <c r="J7" i="6" l="1"/>
  <c r="G7" i="6" s="1"/>
  <c r="I7" i="6"/>
  <c r="F7" i="6" s="1"/>
  <c r="E3" i="6"/>
  <c r="H4" i="6" s="1"/>
  <c r="J8" i="6" l="1"/>
  <c r="G8" i="6"/>
  <c r="I8" i="6"/>
  <c r="F8" i="6" s="1"/>
  <c r="K3" i="6"/>
  <c r="J9" i="6" l="1"/>
  <c r="G9" i="6" s="1"/>
  <c r="I9" i="6"/>
  <c r="F9" i="6" s="1"/>
  <c r="E4" i="6"/>
  <c r="H5" i="6" s="1"/>
  <c r="J10" i="6" l="1"/>
  <c r="G10" i="6" s="1"/>
  <c r="I10" i="6"/>
  <c r="F10" i="6" s="1"/>
  <c r="K4" i="6"/>
  <c r="J11" i="6" l="1"/>
  <c r="G11" i="6" s="1"/>
  <c r="I11" i="6"/>
  <c r="F11" i="6" s="1"/>
  <c r="E5" i="6"/>
  <c r="H6" i="6" s="1"/>
  <c r="J12" i="6" l="1"/>
  <c r="G12" i="6"/>
  <c r="I12" i="6"/>
  <c r="F12" i="6" s="1"/>
  <c r="K5" i="6"/>
  <c r="E6" i="6"/>
  <c r="H7" i="6" s="1"/>
  <c r="J13" i="6" l="1"/>
  <c r="G13" i="6"/>
  <c r="I13" i="6"/>
  <c r="F13" i="6" s="1"/>
  <c r="K6" i="6"/>
  <c r="E7" i="6"/>
  <c r="H8" i="6" s="1"/>
  <c r="J14" i="6" l="1"/>
  <c r="G14" i="6" s="1"/>
  <c r="I14" i="6"/>
  <c r="F14" i="6" s="1"/>
  <c r="K7" i="6"/>
  <c r="E8" i="6"/>
  <c r="H9" i="6" s="1"/>
  <c r="J15" i="6" l="1"/>
  <c r="G15" i="6" s="1"/>
  <c r="I15" i="6"/>
  <c r="F15" i="6" s="1"/>
  <c r="K8" i="6"/>
  <c r="E9" i="6"/>
  <c r="H10" i="6" s="1"/>
  <c r="J16" i="6" l="1"/>
  <c r="G16" i="6" s="1"/>
  <c r="I16" i="6"/>
  <c r="F16" i="6" s="1"/>
  <c r="K9" i="6"/>
  <c r="E10" i="6"/>
  <c r="H11" i="6" s="1"/>
  <c r="J17" i="6" l="1"/>
  <c r="G17" i="6" s="1"/>
  <c r="I17" i="6"/>
  <c r="F17" i="6" s="1"/>
  <c r="K10" i="6"/>
  <c r="E11" i="6"/>
  <c r="H12" i="6" s="1"/>
  <c r="J18" i="6" l="1"/>
  <c r="G18" i="6"/>
  <c r="I18" i="6"/>
  <c r="F18" i="6" s="1"/>
  <c r="K11" i="6"/>
  <c r="E12" i="6"/>
  <c r="H13" i="6" s="1"/>
  <c r="J19" i="6" l="1"/>
  <c r="G19" i="6"/>
  <c r="I19" i="6"/>
  <c r="F19" i="6"/>
  <c r="K12" i="6"/>
  <c r="E13" i="6"/>
  <c r="H14" i="6" s="1"/>
  <c r="J20" i="6" l="1"/>
  <c r="G20" i="6"/>
  <c r="I20" i="6"/>
  <c r="F20" i="6"/>
  <c r="K13" i="6"/>
  <c r="E14" i="6"/>
  <c r="H15" i="6" s="1"/>
  <c r="J21" i="6" l="1"/>
  <c r="G21" i="6"/>
  <c r="I21" i="6"/>
  <c r="F21" i="6" s="1"/>
  <c r="K14" i="6"/>
  <c r="E15" i="6"/>
  <c r="H16" i="6" s="1"/>
  <c r="J22" i="6" l="1"/>
  <c r="G22" i="6"/>
  <c r="I22" i="6"/>
  <c r="F22" i="6"/>
  <c r="K15" i="6"/>
  <c r="E16" i="6"/>
  <c r="H17" i="6" s="1"/>
  <c r="J23" i="6" l="1"/>
  <c r="G23" i="6"/>
  <c r="I23" i="6"/>
  <c r="F23" i="6" s="1"/>
  <c r="K16" i="6"/>
  <c r="E17" i="6"/>
  <c r="H18" i="6" s="1"/>
  <c r="J24" i="6" l="1"/>
  <c r="G24" i="6" s="1"/>
  <c r="I24" i="6"/>
  <c r="F24" i="6" s="1"/>
  <c r="K17" i="6"/>
  <c r="E18" i="6"/>
  <c r="H19" i="6" s="1"/>
  <c r="J25" i="6" l="1"/>
  <c r="G25" i="6" s="1"/>
  <c r="I25" i="6"/>
  <c r="F25" i="6"/>
  <c r="K18" i="6"/>
  <c r="E19" i="6"/>
  <c r="H20" i="6" s="1"/>
  <c r="J26" i="6" l="1"/>
  <c r="G26" i="6" s="1"/>
  <c r="I26" i="6"/>
  <c r="F26" i="6"/>
  <c r="K19" i="6"/>
  <c r="E20" i="6"/>
  <c r="H21" i="6" s="1"/>
  <c r="J27" i="6" l="1"/>
  <c r="G27" i="6" s="1"/>
  <c r="I27" i="6"/>
  <c r="F27" i="6" s="1"/>
  <c r="K20" i="6"/>
  <c r="E21" i="6"/>
  <c r="H22" i="6" s="1"/>
  <c r="J28" i="6" l="1"/>
  <c r="G28" i="6" s="1"/>
  <c r="I28" i="6"/>
  <c r="F28" i="6" s="1"/>
  <c r="K21" i="6"/>
  <c r="E22" i="6"/>
  <c r="H23" i="6" s="1"/>
  <c r="J29" i="6" l="1"/>
  <c r="G29" i="6" s="1"/>
  <c r="I29" i="6"/>
  <c r="F29" i="6"/>
  <c r="K22" i="6"/>
  <c r="E23" i="6"/>
  <c r="H24" i="6" s="1"/>
  <c r="J30" i="6" l="1"/>
  <c r="G30" i="6" s="1"/>
  <c r="I30" i="6"/>
  <c r="F30" i="6" s="1"/>
  <c r="K23" i="6"/>
  <c r="E24" i="6"/>
  <c r="H25" i="6" s="1"/>
  <c r="J31" i="6" l="1"/>
  <c r="G31" i="6" s="1"/>
  <c r="I31" i="6"/>
  <c r="F31" i="6" s="1"/>
  <c r="K24" i="6"/>
  <c r="E25" i="6"/>
  <c r="H26" i="6" s="1"/>
  <c r="J32" i="6" l="1"/>
  <c r="G32" i="6" s="1"/>
  <c r="I32" i="6"/>
  <c r="F32" i="6" s="1"/>
  <c r="K25" i="6"/>
  <c r="E26" i="6"/>
  <c r="H27" i="6" s="1"/>
  <c r="J33" i="6" l="1"/>
  <c r="G33" i="6" s="1"/>
  <c r="I33" i="6"/>
  <c r="F33" i="6" s="1"/>
  <c r="K26" i="6"/>
  <c r="E27" i="6"/>
  <c r="H28" i="6" s="1"/>
  <c r="J34" i="6" l="1"/>
  <c r="G34" i="6" s="1"/>
  <c r="I34" i="6"/>
  <c r="F34" i="6"/>
  <c r="K27" i="6"/>
  <c r="E28" i="6"/>
  <c r="H29" i="6" s="1"/>
  <c r="J35" i="6" l="1"/>
  <c r="G35" i="6" s="1"/>
  <c r="I35" i="6"/>
  <c r="F35" i="6" s="1"/>
  <c r="E29" i="6"/>
  <c r="H30" i="6" s="1"/>
  <c r="K28" i="6"/>
  <c r="J36" i="6" l="1"/>
  <c r="G36" i="6" s="1"/>
  <c r="I36" i="6"/>
  <c r="F36" i="6"/>
  <c r="K29" i="6"/>
  <c r="E30" i="6"/>
  <c r="H31" i="6" s="1"/>
  <c r="J37" i="6" l="1"/>
  <c r="G37" i="6" s="1"/>
  <c r="I37" i="6"/>
  <c r="F37" i="6" s="1"/>
  <c r="K30" i="6"/>
  <c r="E31" i="6"/>
  <c r="H32" i="6" s="1"/>
  <c r="J38" i="6" l="1"/>
  <c r="G38" i="6"/>
  <c r="I38" i="6"/>
  <c r="F38" i="6"/>
  <c r="K31" i="6"/>
  <c r="E32" i="6"/>
  <c r="H33" i="6" s="1"/>
  <c r="J39" i="6" l="1"/>
  <c r="G39" i="6" s="1"/>
  <c r="I39" i="6"/>
  <c r="F39" i="6"/>
  <c r="E33" i="6"/>
  <c r="H34" i="6" s="1"/>
  <c r="K32" i="6"/>
  <c r="J40" i="6" l="1"/>
  <c r="G40" i="6" s="1"/>
  <c r="I40" i="6"/>
  <c r="F40" i="6"/>
  <c r="K33" i="6"/>
  <c r="E34" i="6"/>
  <c r="H35" i="6" s="1"/>
  <c r="J41" i="6" l="1"/>
  <c r="G41" i="6" s="1"/>
  <c r="I41" i="6"/>
  <c r="F41" i="6" s="1"/>
  <c r="K34" i="6"/>
  <c r="E35" i="6"/>
  <c r="H36" i="6" s="1"/>
  <c r="J42" i="6" l="1"/>
  <c r="G42" i="6" s="1"/>
  <c r="I42" i="6"/>
  <c r="F42" i="6" s="1"/>
  <c r="K35" i="6"/>
  <c r="E36" i="6"/>
  <c r="H37" i="6" s="1"/>
  <c r="J43" i="6" l="1"/>
  <c r="G43" i="6" s="1"/>
  <c r="I43" i="6"/>
  <c r="F43" i="6" s="1"/>
  <c r="K36" i="6"/>
  <c r="E37" i="6"/>
  <c r="H38" i="6" s="1"/>
  <c r="J44" i="6" l="1"/>
  <c r="G44" i="6" s="1"/>
  <c r="I44" i="6"/>
  <c r="F44" i="6"/>
  <c r="K37" i="6"/>
  <c r="E38" i="6"/>
  <c r="H39" i="6" s="1"/>
  <c r="J45" i="6" l="1"/>
  <c r="G45" i="6"/>
  <c r="I45" i="6"/>
  <c r="F45" i="6" s="1"/>
  <c r="K38" i="6"/>
  <c r="E39" i="6"/>
  <c r="H40" i="6" s="1"/>
  <c r="J46" i="6" l="1"/>
  <c r="G46" i="6" s="1"/>
  <c r="I46" i="6"/>
  <c r="F46" i="6" s="1"/>
  <c r="K39" i="6"/>
  <c r="E40" i="6"/>
  <c r="H41" i="6" s="1"/>
  <c r="J47" i="6" l="1"/>
  <c r="G47" i="6" s="1"/>
  <c r="I47" i="6"/>
  <c r="F47" i="6" s="1"/>
  <c r="K40" i="6"/>
  <c r="E41" i="6"/>
  <c r="H42" i="6" s="1"/>
  <c r="J48" i="6" l="1"/>
  <c r="G48" i="6"/>
  <c r="I48" i="6"/>
  <c r="F48" i="6"/>
  <c r="K41" i="6"/>
  <c r="E42" i="6"/>
  <c r="H43" i="6" s="1"/>
  <c r="J49" i="6" l="1"/>
  <c r="G49" i="6"/>
  <c r="I49" i="6"/>
  <c r="F49" i="6" s="1"/>
  <c r="E43" i="6"/>
  <c r="H44" i="6" s="1"/>
  <c r="K42" i="6"/>
  <c r="J50" i="6" l="1"/>
  <c r="G50" i="6" s="1"/>
  <c r="I50" i="6"/>
  <c r="F50" i="6" s="1"/>
  <c r="K43" i="6"/>
  <c r="E44" i="6"/>
  <c r="H45" i="6" s="1"/>
  <c r="J51" i="6" l="1"/>
  <c r="G51" i="6" s="1"/>
  <c r="I51" i="6"/>
  <c r="F51" i="6"/>
  <c r="K44" i="6"/>
  <c r="E45" i="6"/>
  <c r="H46" i="6" s="1"/>
  <c r="J52" i="6" l="1"/>
  <c r="G52" i="6"/>
  <c r="I52" i="6"/>
  <c r="F52" i="6" s="1"/>
  <c r="K45" i="6"/>
  <c r="E46" i="6"/>
  <c r="H47" i="6" s="1"/>
  <c r="J53" i="6" l="1"/>
  <c r="G53" i="6" s="1"/>
  <c r="I53" i="6"/>
  <c r="F53" i="6" s="1"/>
  <c r="K46" i="6"/>
  <c r="E47" i="6"/>
  <c r="H48" i="6" s="1"/>
  <c r="J54" i="6" l="1"/>
  <c r="G54" i="6" s="1"/>
  <c r="I54" i="6"/>
  <c r="F54" i="6"/>
  <c r="K47" i="6"/>
  <c r="E48" i="6"/>
  <c r="H49" i="6" s="1"/>
  <c r="J55" i="6" l="1"/>
  <c r="G55" i="6" s="1"/>
  <c r="I55" i="6"/>
  <c r="F55" i="6" s="1"/>
  <c r="K48" i="6"/>
  <c r="E49" i="6"/>
  <c r="H50" i="6" s="1"/>
  <c r="J56" i="6" l="1"/>
  <c r="G56" i="6" s="1"/>
  <c r="I56" i="6"/>
  <c r="F56" i="6"/>
  <c r="K49" i="6"/>
  <c r="E50" i="6"/>
  <c r="H51" i="6" s="1"/>
  <c r="J57" i="6" l="1"/>
  <c r="G57" i="6" s="1"/>
  <c r="I57" i="6"/>
  <c r="F57" i="6"/>
  <c r="E51" i="6"/>
  <c r="H52" i="6" s="1"/>
  <c r="K50" i="6"/>
  <c r="J58" i="6" l="1"/>
  <c r="G58" i="6" s="1"/>
  <c r="I58" i="6"/>
  <c r="F58" i="6" s="1"/>
  <c r="E52" i="6"/>
  <c r="H53" i="6" s="1"/>
  <c r="K51" i="6"/>
  <c r="J59" i="6" l="1"/>
  <c r="G59" i="6" s="1"/>
  <c r="I59" i="6"/>
  <c r="F59" i="6" s="1"/>
  <c r="K52" i="6"/>
  <c r="E53" i="6"/>
  <c r="H54" i="6" s="1"/>
  <c r="J60" i="6" l="1"/>
  <c r="G60" i="6" s="1"/>
  <c r="I60" i="6"/>
  <c r="F60" i="6" s="1"/>
  <c r="K53" i="6"/>
  <c r="E54" i="6"/>
  <c r="H55" i="6" s="1"/>
  <c r="J61" i="6" l="1"/>
  <c r="G61" i="6"/>
  <c r="I61" i="6"/>
  <c r="F61" i="6" s="1"/>
  <c r="K54" i="6"/>
  <c r="E55" i="6"/>
  <c r="H56" i="6" s="1"/>
  <c r="J62" i="6" l="1"/>
  <c r="G62" i="6"/>
  <c r="I62" i="6"/>
  <c r="F62" i="6" s="1"/>
  <c r="K55" i="6"/>
  <c r="E56" i="6"/>
  <c r="H57" i="6" s="1"/>
  <c r="J63" i="6" l="1"/>
  <c r="G63" i="6"/>
  <c r="I63" i="6"/>
  <c r="F63" i="6" s="1"/>
  <c r="K56" i="6"/>
  <c r="E57" i="6"/>
  <c r="H58" i="6" s="1"/>
  <c r="J64" i="6" l="1"/>
  <c r="G64" i="6" s="1"/>
  <c r="I64" i="6"/>
  <c r="F64" i="6" s="1"/>
  <c r="K57" i="6"/>
  <c r="E58" i="6"/>
  <c r="H59" i="6" s="1"/>
  <c r="J65" i="6" l="1"/>
  <c r="G65" i="6" s="1"/>
  <c r="I65" i="6"/>
  <c r="F65" i="6" s="1"/>
  <c r="K58" i="6"/>
  <c r="E59" i="6"/>
  <c r="H60" i="6" s="1"/>
  <c r="J66" i="6" l="1"/>
  <c r="G66" i="6" s="1"/>
  <c r="I66" i="6"/>
  <c r="F66" i="6" s="1"/>
  <c r="K59" i="6"/>
  <c r="E60" i="6"/>
  <c r="H61" i="6" s="1"/>
  <c r="J67" i="6" l="1"/>
  <c r="G67" i="6"/>
  <c r="I67" i="6"/>
  <c r="F67" i="6"/>
  <c r="K60" i="6"/>
  <c r="E61" i="6"/>
  <c r="H62" i="6" s="1"/>
  <c r="J68" i="6" l="1"/>
  <c r="G68" i="6"/>
  <c r="I68" i="6"/>
  <c r="F68" i="6" s="1"/>
  <c r="K61" i="6"/>
  <c r="E62" i="6"/>
  <c r="H63" i="6" s="1"/>
  <c r="J69" i="6" l="1"/>
  <c r="G69" i="6" s="1"/>
  <c r="I69" i="6"/>
  <c r="F69" i="6" s="1"/>
  <c r="E63" i="6"/>
  <c r="H64" i="6" s="1"/>
  <c r="K62" i="6"/>
  <c r="J70" i="6" l="1"/>
  <c r="G70" i="6" s="1"/>
  <c r="I70" i="6"/>
  <c r="F70" i="6" s="1"/>
  <c r="E64" i="6"/>
  <c r="H65" i="6" s="1"/>
  <c r="K63" i="6"/>
  <c r="J71" i="6" l="1"/>
  <c r="G71" i="6" s="1"/>
  <c r="I71" i="6"/>
  <c r="F71" i="6" s="1"/>
  <c r="K64" i="6"/>
  <c r="E65" i="6"/>
  <c r="H66" i="6" s="1"/>
  <c r="J72" i="6" l="1"/>
  <c r="G72" i="6" s="1"/>
  <c r="I72" i="6"/>
  <c r="F72" i="6" s="1"/>
  <c r="K65" i="6"/>
  <c r="E66" i="6"/>
  <c r="H67" i="6" s="1"/>
  <c r="J73" i="6" l="1"/>
  <c r="G73" i="6" s="1"/>
  <c r="I73" i="6"/>
  <c r="F73" i="6" s="1"/>
  <c r="K66" i="6"/>
  <c r="E67" i="6"/>
  <c r="H68" i="6" s="1"/>
  <c r="J74" i="6" l="1"/>
  <c r="G74" i="6" s="1"/>
  <c r="I74" i="6"/>
  <c r="F74" i="6"/>
  <c r="K67" i="6"/>
  <c r="E68" i="6"/>
  <c r="H69" i="6" s="1"/>
  <c r="J75" i="6" l="1"/>
  <c r="G75" i="6" s="1"/>
  <c r="I75" i="6"/>
  <c r="F75" i="6" s="1"/>
  <c r="K68" i="6"/>
  <c r="E69" i="6"/>
  <c r="H70" i="6" s="1"/>
  <c r="J76" i="6" l="1"/>
  <c r="G76" i="6" s="1"/>
  <c r="I76" i="6"/>
  <c r="F76" i="6" s="1"/>
  <c r="K69" i="6"/>
  <c r="E70" i="6"/>
  <c r="H71" i="6" s="1"/>
  <c r="J77" i="6" l="1"/>
  <c r="G77" i="6" s="1"/>
  <c r="I77" i="6"/>
  <c r="F77" i="6" s="1"/>
  <c r="K70" i="6"/>
  <c r="E71" i="6"/>
  <c r="H72" i="6" s="1"/>
  <c r="J78" i="6" l="1"/>
  <c r="G78" i="6"/>
  <c r="I78" i="6"/>
  <c r="F78" i="6" s="1"/>
  <c r="K71" i="6"/>
  <c r="E72" i="6"/>
  <c r="H73" i="6" s="1"/>
  <c r="J79" i="6" l="1"/>
  <c r="G79" i="6"/>
  <c r="I79" i="6"/>
  <c r="F79" i="6" s="1"/>
  <c r="K72" i="6"/>
  <c r="E73" i="6"/>
  <c r="H74" i="6" s="1"/>
  <c r="J80" i="6" l="1"/>
  <c r="G80" i="6"/>
  <c r="I80" i="6"/>
  <c r="F80" i="6" s="1"/>
  <c r="K73" i="6"/>
  <c r="E74" i="6"/>
  <c r="H75" i="6" s="1"/>
  <c r="J81" i="6" l="1"/>
  <c r="G81" i="6"/>
  <c r="I81" i="6"/>
  <c r="F81" i="6" s="1"/>
  <c r="E75" i="6"/>
  <c r="H76" i="6" s="1"/>
  <c r="K74" i="6"/>
  <c r="J82" i="6" l="1"/>
  <c r="G82" i="6"/>
  <c r="I82" i="6"/>
  <c r="F82" i="6"/>
  <c r="K75" i="6"/>
  <c r="E76" i="6"/>
  <c r="H77" i="6" s="1"/>
  <c r="J83" i="6" l="1"/>
  <c r="G83" i="6" s="1"/>
  <c r="I83" i="6"/>
  <c r="F83" i="6"/>
  <c r="K76" i="6"/>
  <c r="E77" i="6"/>
  <c r="H78" i="6" s="1"/>
  <c r="J84" i="6" l="1"/>
  <c r="G84" i="6" s="1"/>
  <c r="I84" i="6"/>
  <c r="F84" i="6" s="1"/>
  <c r="K77" i="6"/>
  <c r="E78" i="6"/>
  <c r="H79" i="6" s="1"/>
  <c r="J85" i="6" l="1"/>
  <c r="G85" i="6"/>
  <c r="I85" i="6"/>
  <c r="F85" i="6"/>
  <c r="K78" i="6"/>
  <c r="E79" i="6"/>
  <c r="H80" i="6" s="1"/>
  <c r="J86" i="6" l="1"/>
  <c r="G86" i="6" s="1"/>
  <c r="I86" i="6"/>
  <c r="F86" i="6"/>
  <c r="E80" i="6"/>
  <c r="H81" i="6" s="1"/>
  <c r="K79" i="6"/>
  <c r="J87" i="6" l="1"/>
  <c r="G87" i="6"/>
  <c r="I87" i="6"/>
  <c r="F87" i="6"/>
  <c r="K80" i="6"/>
  <c r="E81" i="6"/>
  <c r="H82" i="6" s="1"/>
  <c r="J88" i="6" l="1"/>
  <c r="G88" i="6" s="1"/>
  <c r="I88" i="6"/>
  <c r="F88" i="6" s="1"/>
  <c r="K81" i="6"/>
  <c r="E82" i="6"/>
  <c r="H83" i="6" s="1"/>
  <c r="J89" i="6" l="1"/>
  <c r="G89" i="6"/>
  <c r="I89" i="6"/>
  <c r="F89" i="6"/>
  <c r="E83" i="6"/>
  <c r="H84" i="6" s="1"/>
  <c r="K82" i="6"/>
  <c r="J90" i="6" l="1"/>
  <c r="G90" i="6" s="1"/>
  <c r="I90" i="6"/>
  <c r="F90" i="6" s="1"/>
  <c r="E84" i="6"/>
  <c r="H85" i="6" s="1"/>
  <c r="K83" i="6"/>
  <c r="J91" i="6" l="1"/>
  <c r="G91" i="6" s="1"/>
  <c r="I91" i="6"/>
  <c r="F91" i="6" s="1"/>
  <c r="K84" i="6"/>
  <c r="E85" i="6"/>
  <c r="H86" i="6" s="1"/>
  <c r="J92" i="6" l="1"/>
  <c r="G92" i="6" s="1"/>
  <c r="I92" i="6"/>
  <c r="F92" i="6" s="1"/>
  <c r="K85" i="6"/>
  <c r="E86" i="6"/>
  <c r="H87" i="6" s="1"/>
  <c r="J93" i="6" l="1"/>
  <c r="G93" i="6" s="1"/>
  <c r="I93" i="6"/>
  <c r="F93" i="6" s="1"/>
  <c r="K86" i="6"/>
  <c r="E87" i="6"/>
  <c r="H88" i="6" s="1"/>
  <c r="J94" i="6" l="1"/>
  <c r="G94" i="6"/>
  <c r="I94" i="6"/>
  <c r="F94" i="6" s="1"/>
  <c r="K87" i="6"/>
  <c r="E88" i="6"/>
  <c r="H89" i="6" s="1"/>
  <c r="J95" i="6" l="1"/>
  <c r="G95" i="6"/>
  <c r="I95" i="6"/>
  <c r="F95" i="6" s="1"/>
  <c r="K88" i="6"/>
  <c r="E89" i="6"/>
  <c r="H90" i="6" s="1"/>
  <c r="J96" i="6" l="1"/>
  <c r="G96" i="6"/>
  <c r="I96" i="6"/>
  <c r="F96" i="6"/>
  <c r="K89" i="6"/>
  <c r="E90" i="6"/>
  <c r="H91" i="6" s="1"/>
  <c r="J97" i="6" l="1"/>
  <c r="G97" i="6" s="1"/>
  <c r="I97" i="6"/>
  <c r="F97" i="6" s="1"/>
  <c r="K90" i="6"/>
  <c r="E91" i="6"/>
  <c r="H92" i="6" s="1"/>
  <c r="J98" i="6" l="1"/>
  <c r="G98" i="6"/>
  <c r="I98" i="6"/>
  <c r="F98" i="6" s="1"/>
  <c r="K91" i="6"/>
  <c r="E92" i="6"/>
  <c r="H93" i="6" s="1"/>
  <c r="J99" i="6" l="1"/>
  <c r="G99" i="6"/>
  <c r="I99" i="6"/>
  <c r="F99" i="6" s="1"/>
  <c r="K92" i="6"/>
  <c r="E93" i="6"/>
  <c r="H94" i="6" s="1"/>
  <c r="J100" i="6" l="1"/>
  <c r="G100" i="6"/>
  <c r="I100" i="6"/>
  <c r="F100" i="6"/>
  <c r="K93" i="6"/>
  <c r="E94" i="6"/>
  <c r="H95" i="6" s="1"/>
  <c r="J101" i="6" l="1"/>
  <c r="G101" i="6"/>
  <c r="I101" i="6"/>
  <c r="F101" i="6" s="1"/>
  <c r="K94" i="6"/>
  <c r="E95" i="6"/>
  <c r="H96" i="6" s="1"/>
  <c r="J102" i="6" l="1"/>
  <c r="G102" i="6"/>
  <c r="I102" i="6"/>
  <c r="F102" i="6" s="1"/>
  <c r="K95" i="6"/>
  <c r="E96" i="6"/>
  <c r="H97" i="6" s="1"/>
  <c r="J103" i="6" l="1"/>
  <c r="G103" i="6"/>
  <c r="I103" i="6"/>
  <c r="F103" i="6" s="1"/>
  <c r="K96" i="6"/>
  <c r="E97" i="6"/>
  <c r="H98" i="6" s="1"/>
  <c r="J104" i="6" l="1"/>
  <c r="G104" i="6"/>
  <c r="I104" i="6"/>
  <c r="F104" i="6" s="1"/>
  <c r="K97" i="6"/>
  <c r="E98" i="6"/>
  <c r="H99" i="6" s="1"/>
  <c r="J105" i="6" l="1"/>
  <c r="G105" i="6"/>
  <c r="I105" i="6"/>
  <c r="F105" i="6" s="1"/>
  <c r="K98" i="6"/>
  <c r="E99" i="6"/>
  <c r="H100" i="6" s="1"/>
  <c r="J106" i="6" l="1"/>
  <c r="G106" i="6"/>
  <c r="I106" i="6"/>
  <c r="F106" i="6" s="1"/>
  <c r="K99" i="6"/>
  <c r="E100" i="6"/>
  <c r="H101" i="6" s="1"/>
  <c r="J107" i="6" l="1"/>
  <c r="G107" i="6" s="1"/>
  <c r="I107" i="6"/>
  <c r="F107" i="6"/>
  <c r="K100" i="6"/>
  <c r="E101" i="6"/>
  <c r="H102" i="6" s="1"/>
  <c r="J108" i="6" l="1"/>
  <c r="G108" i="6" s="1"/>
  <c r="I108" i="6"/>
  <c r="F108" i="6" s="1"/>
  <c r="K101" i="6"/>
  <c r="E102" i="6"/>
  <c r="H103" i="6" s="1"/>
  <c r="J109" i="6" l="1"/>
  <c r="G109" i="6" s="1"/>
  <c r="I109" i="6"/>
  <c r="F109" i="6"/>
  <c r="K102" i="6"/>
  <c r="E103" i="6"/>
  <c r="H104" i="6" s="1"/>
  <c r="J110" i="6" l="1"/>
  <c r="G110" i="6"/>
  <c r="I110" i="6"/>
  <c r="F110" i="6"/>
  <c r="K103" i="6"/>
  <c r="E104" i="6"/>
  <c r="H105" i="6" s="1"/>
  <c r="J111" i="6" l="1"/>
  <c r="G111" i="6"/>
  <c r="I111" i="6"/>
  <c r="F111" i="6" s="1"/>
  <c r="K104" i="6"/>
  <c r="E105" i="6"/>
  <c r="H106" i="6" s="1"/>
  <c r="J112" i="6" l="1"/>
  <c r="G112" i="6" s="1"/>
  <c r="I112" i="6"/>
  <c r="F112" i="6" s="1"/>
  <c r="K105" i="6"/>
  <c r="E106" i="6"/>
  <c r="H107" i="6" s="1"/>
  <c r="J113" i="6" l="1"/>
  <c r="G113" i="6" s="1"/>
  <c r="I113" i="6"/>
  <c r="F113" i="6" s="1"/>
  <c r="K106" i="6"/>
  <c r="E107" i="6"/>
  <c r="H108" i="6" s="1"/>
  <c r="J114" i="6" l="1"/>
  <c r="G114" i="6" s="1"/>
  <c r="I114" i="6"/>
  <c r="F114" i="6"/>
  <c r="K107" i="6"/>
  <c r="E108" i="6"/>
  <c r="H109" i="6" s="1"/>
  <c r="J115" i="6" l="1"/>
  <c r="G115" i="6"/>
  <c r="I115" i="6"/>
  <c r="F115" i="6"/>
  <c r="K108" i="6"/>
  <c r="E109" i="6"/>
  <c r="H110" i="6" s="1"/>
  <c r="J116" i="6" l="1"/>
  <c r="G116" i="6"/>
  <c r="I116" i="6"/>
  <c r="F116" i="6"/>
  <c r="K109" i="6"/>
  <c r="E110" i="6"/>
  <c r="H111" i="6" s="1"/>
  <c r="J117" i="6" l="1"/>
  <c r="G117" i="6"/>
  <c r="I117" i="6"/>
  <c r="F117" i="6" s="1"/>
  <c r="K110" i="6"/>
  <c r="E111" i="6"/>
  <c r="H112" i="6" s="1"/>
  <c r="J118" i="6" l="1"/>
  <c r="G118" i="6"/>
  <c r="I118" i="6"/>
  <c r="F118" i="6"/>
  <c r="K111" i="6"/>
  <c r="E112" i="6"/>
  <c r="H113" i="6" s="1"/>
  <c r="J119" i="6" l="1"/>
  <c r="G119" i="6" s="1"/>
  <c r="I119" i="6"/>
  <c r="F119" i="6" s="1"/>
  <c r="K112" i="6"/>
  <c r="E113" i="6"/>
  <c r="H114" i="6" s="1"/>
  <c r="J120" i="6" l="1"/>
  <c r="G120" i="6"/>
  <c r="I120" i="6"/>
  <c r="F120" i="6" s="1"/>
  <c r="K113" i="6"/>
  <c r="E114" i="6"/>
  <c r="H115" i="6" s="1"/>
  <c r="J121" i="6" l="1"/>
  <c r="G121" i="6"/>
  <c r="I121" i="6"/>
  <c r="F121" i="6"/>
  <c r="K114" i="6"/>
  <c r="E115" i="6"/>
  <c r="H116" i="6" s="1"/>
  <c r="J122" i="6" l="1"/>
  <c r="G122" i="6" s="1"/>
  <c r="I122" i="6"/>
  <c r="F122" i="6" s="1"/>
  <c r="K115" i="6"/>
  <c r="E116" i="6"/>
  <c r="H117" i="6" s="1"/>
  <c r="J123" i="6" l="1"/>
  <c r="G123" i="6" s="1"/>
  <c r="I123" i="6"/>
  <c r="F123" i="6" s="1"/>
  <c r="K116" i="6"/>
  <c r="E117" i="6"/>
  <c r="H118" i="6" s="1"/>
  <c r="J124" i="6" l="1"/>
  <c r="G124" i="6"/>
  <c r="I124" i="6"/>
  <c r="F124" i="6" s="1"/>
  <c r="K117" i="6"/>
  <c r="E118" i="6"/>
  <c r="H119" i="6" s="1"/>
  <c r="J125" i="6" l="1"/>
  <c r="G125" i="6"/>
  <c r="I125" i="6"/>
  <c r="F125" i="6" s="1"/>
  <c r="K118" i="6"/>
  <c r="E119" i="6"/>
  <c r="H120" i="6" s="1"/>
  <c r="J126" i="6" l="1"/>
  <c r="G126" i="6"/>
  <c r="I126" i="6"/>
  <c r="F126" i="6" s="1"/>
  <c r="K119" i="6"/>
  <c r="E120" i="6"/>
  <c r="H121" i="6" s="1"/>
  <c r="J127" i="6" l="1"/>
  <c r="G127" i="6"/>
  <c r="I127" i="6"/>
  <c r="F127" i="6"/>
  <c r="K120" i="6"/>
  <c r="E121" i="6"/>
  <c r="H122" i="6" s="1"/>
  <c r="J128" i="6" l="1"/>
  <c r="G128" i="6" s="1"/>
  <c r="I128" i="6"/>
  <c r="F128" i="6"/>
  <c r="K121" i="6"/>
  <c r="E122" i="6"/>
  <c r="H123" i="6" s="1"/>
  <c r="J129" i="6" l="1"/>
  <c r="G129" i="6"/>
  <c r="I129" i="6"/>
  <c r="F129" i="6" s="1"/>
  <c r="K122" i="6"/>
  <c r="E123" i="6"/>
  <c r="H124" i="6" s="1"/>
  <c r="J130" i="6" l="1"/>
  <c r="G130" i="6"/>
  <c r="I130" i="6"/>
  <c r="F130" i="6"/>
  <c r="K123" i="6"/>
  <c r="E124" i="6"/>
  <c r="H125" i="6" s="1"/>
  <c r="J131" i="6" l="1"/>
  <c r="G131" i="6"/>
  <c r="I131" i="6"/>
  <c r="F131" i="6"/>
  <c r="K124" i="6"/>
  <c r="E125" i="6"/>
  <c r="H126" i="6" s="1"/>
  <c r="J132" i="6" l="1"/>
  <c r="G132" i="6"/>
  <c r="I132" i="6"/>
  <c r="F132" i="6"/>
  <c r="K125" i="6"/>
  <c r="E126" i="6"/>
  <c r="H127" i="6" s="1"/>
  <c r="J133" i="6" l="1"/>
  <c r="G133" i="6"/>
  <c r="I133" i="6"/>
  <c r="F133" i="6" s="1"/>
  <c r="K126" i="6"/>
  <c r="E127" i="6"/>
  <c r="H128" i="6" s="1"/>
  <c r="J134" i="6" l="1"/>
  <c r="G134" i="6"/>
  <c r="I134" i="6"/>
  <c r="F134" i="6"/>
  <c r="K127" i="6"/>
  <c r="E128" i="6"/>
  <c r="H129" i="6" s="1"/>
  <c r="J135" i="6" l="1"/>
  <c r="G135" i="6"/>
  <c r="I135" i="6"/>
  <c r="F135" i="6" s="1"/>
  <c r="K128" i="6"/>
  <c r="E129" i="6"/>
  <c r="H130" i="6" s="1"/>
  <c r="J136" i="6" l="1"/>
  <c r="G136" i="6" s="1"/>
  <c r="I136" i="6"/>
  <c r="F136" i="6"/>
  <c r="K129" i="6"/>
  <c r="E130" i="6"/>
  <c r="H131" i="6" s="1"/>
  <c r="J137" i="6" l="1"/>
  <c r="G137" i="6" s="1"/>
  <c r="I137" i="6"/>
  <c r="F137" i="6"/>
  <c r="K130" i="6"/>
  <c r="E131" i="6"/>
  <c r="H132" i="6" s="1"/>
  <c r="J138" i="6" l="1"/>
  <c r="G138" i="6"/>
  <c r="I138" i="6"/>
  <c r="F138" i="6" s="1"/>
  <c r="K131" i="6"/>
  <c r="E132" i="6"/>
  <c r="H133" i="6" s="1"/>
  <c r="J139" i="6" l="1"/>
  <c r="G139" i="6" s="1"/>
  <c r="I139" i="6"/>
  <c r="F139" i="6"/>
  <c r="K132" i="6"/>
  <c r="E133" i="6"/>
  <c r="H134" i="6" s="1"/>
  <c r="J140" i="6" l="1"/>
  <c r="G140" i="6" s="1"/>
  <c r="I140" i="6"/>
  <c r="F140" i="6" s="1"/>
  <c r="K133" i="6"/>
  <c r="E134" i="6"/>
  <c r="H135" i="6" s="1"/>
  <c r="J141" i="6" l="1"/>
  <c r="G141" i="6" s="1"/>
  <c r="I141" i="6"/>
  <c r="F141" i="6" s="1"/>
  <c r="K134" i="6"/>
  <c r="E135" i="6"/>
  <c r="H136" i="6" s="1"/>
  <c r="J142" i="6" l="1"/>
  <c r="G142" i="6" s="1"/>
  <c r="I142" i="6"/>
  <c r="F142" i="6"/>
  <c r="K135" i="6"/>
  <c r="E136" i="6"/>
  <c r="H137" i="6" s="1"/>
  <c r="J143" i="6" l="1"/>
  <c r="G143" i="6"/>
  <c r="I143" i="6"/>
  <c r="F143" i="6"/>
  <c r="K136" i="6"/>
  <c r="E137" i="6"/>
  <c r="H138" i="6" s="1"/>
  <c r="J144" i="6" l="1"/>
  <c r="G144" i="6" s="1"/>
  <c r="I144" i="6"/>
  <c r="F144" i="6"/>
  <c r="K137" i="6"/>
  <c r="E138" i="6"/>
  <c r="H139" i="6" s="1"/>
  <c r="J145" i="6" l="1"/>
  <c r="G145" i="6"/>
  <c r="I145" i="6"/>
  <c r="F145" i="6" s="1"/>
  <c r="K138" i="6"/>
  <c r="E139" i="6"/>
  <c r="H140" i="6" s="1"/>
  <c r="J146" i="6" l="1"/>
  <c r="G146" i="6"/>
  <c r="I146" i="6"/>
  <c r="F146" i="6"/>
  <c r="K139" i="6"/>
  <c r="E140" i="6"/>
  <c r="H141" i="6" s="1"/>
  <c r="J147" i="6" l="1"/>
  <c r="G147" i="6" s="1"/>
  <c r="I147" i="6"/>
  <c r="F147" i="6"/>
  <c r="K140" i="6"/>
  <c r="E141" i="6"/>
  <c r="H142" i="6" s="1"/>
  <c r="J148" i="6" l="1"/>
  <c r="G148" i="6"/>
  <c r="I148" i="6"/>
  <c r="F148" i="6"/>
  <c r="K141" i="6"/>
  <c r="E142" i="6"/>
  <c r="H143" i="6" s="1"/>
  <c r="J149" i="6" l="1"/>
  <c r="G149" i="6" s="1"/>
  <c r="I149" i="6"/>
  <c r="F149" i="6" s="1"/>
  <c r="K142" i="6"/>
  <c r="E143" i="6"/>
  <c r="H144" i="6" s="1"/>
  <c r="J150" i="6" l="1"/>
  <c r="G150" i="6" s="1"/>
  <c r="I150" i="6"/>
  <c r="F150" i="6" s="1"/>
  <c r="K143" i="6"/>
  <c r="E144" i="6"/>
  <c r="H145" i="6" s="1"/>
  <c r="J151" i="6" l="1"/>
  <c r="G151" i="6"/>
  <c r="I151" i="6"/>
  <c r="F151" i="6"/>
  <c r="K144" i="6"/>
  <c r="E145" i="6"/>
  <c r="H146" i="6" s="1"/>
  <c r="J152" i="6" l="1"/>
  <c r="G152" i="6"/>
  <c r="I152" i="6"/>
  <c r="F152" i="6"/>
  <c r="K145" i="6"/>
  <c r="E146" i="6"/>
  <c r="H147" i="6" s="1"/>
  <c r="J153" i="6" l="1"/>
  <c r="G153" i="6" s="1"/>
  <c r="I153" i="6"/>
  <c r="F153" i="6"/>
  <c r="K146" i="6"/>
  <c r="E147" i="6"/>
  <c r="H148" i="6" s="1"/>
  <c r="J154" i="6" l="1"/>
  <c r="G154" i="6"/>
  <c r="I154" i="6"/>
  <c r="F154" i="6"/>
  <c r="K147" i="6"/>
  <c r="E148" i="6"/>
  <c r="H149" i="6" s="1"/>
  <c r="J155" i="6" l="1"/>
  <c r="G155" i="6" s="1"/>
  <c r="I155" i="6"/>
  <c r="F155" i="6"/>
  <c r="K148" i="6"/>
  <c r="E149" i="6"/>
  <c r="H150" i="6" s="1"/>
  <c r="J156" i="6" l="1"/>
  <c r="G156" i="6"/>
  <c r="I156" i="6"/>
  <c r="F156" i="6"/>
  <c r="K149" i="6"/>
  <c r="E150" i="6"/>
  <c r="H151" i="6" s="1"/>
  <c r="J157" i="6" l="1"/>
  <c r="G157" i="6"/>
  <c r="I157" i="6"/>
  <c r="F157" i="6"/>
  <c r="K150" i="6"/>
  <c r="E151" i="6"/>
  <c r="H152" i="6" s="1"/>
  <c r="J158" i="6" l="1"/>
  <c r="G158" i="6" s="1"/>
  <c r="I158" i="6"/>
  <c r="F158" i="6" s="1"/>
  <c r="K151" i="6"/>
  <c r="E152" i="6"/>
  <c r="H153" i="6" s="1"/>
  <c r="J159" i="6" l="1"/>
  <c r="G159" i="6" s="1"/>
  <c r="I159" i="6"/>
  <c r="F159" i="6"/>
  <c r="K152" i="6"/>
  <c r="E153" i="6"/>
  <c r="H154" i="6" s="1"/>
  <c r="J160" i="6" l="1"/>
  <c r="G160" i="6"/>
  <c r="I160" i="6"/>
  <c r="F160" i="6" s="1"/>
  <c r="K153" i="6"/>
  <c r="E154" i="6"/>
  <c r="H155" i="6" s="1"/>
  <c r="J161" i="6" l="1"/>
  <c r="G161" i="6"/>
  <c r="I161" i="6"/>
  <c r="F161" i="6" s="1"/>
  <c r="K154" i="6"/>
  <c r="E155" i="6"/>
  <c r="H156" i="6" s="1"/>
  <c r="J162" i="6" l="1"/>
  <c r="G162" i="6" s="1"/>
  <c r="I162" i="6"/>
  <c r="F162" i="6"/>
  <c r="K155" i="6"/>
  <c r="E156" i="6"/>
  <c r="H157" i="6" s="1"/>
  <c r="J163" i="6" l="1"/>
  <c r="G163" i="6" s="1"/>
  <c r="I163" i="6"/>
  <c r="F163" i="6"/>
  <c r="K156" i="6"/>
  <c r="E157" i="6"/>
  <c r="H158" i="6" s="1"/>
  <c r="J164" i="6" l="1"/>
  <c r="G164" i="6"/>
  <c r="I164" i="6"/>
  <c r="F164" i="6" s="1"/>
  <c r="K157" i="6"/>
  <c r="E158" i="6"/>
  <c r="H159" i="6" s="1"/>
  <c r="J165" i="6" l="1"/>
  <c r="G165" i="6"/>
  <c r="I165" i="6"/>
  <c r="F165" i="6"/>
  <c r="K158" i="6"/>
  <c r="E159" i="6"/>
  <c r="H160" i="6" s="1"/>
  <c r="J166" i="6" l="1"/>
  <c r="G166" i="6"/>
  <c r="I166" i="6"/>
  <c r="F166" i="6"/>
  <c r="K159" i="6"/>
  <c r="E160" i="6"/>
  <c r="H161" i="6" s="1"/>
  <c r="J167" i="6" l="1"/>
  <c r="G167" i="6"/>
  <c r="I167" i="6"/>
  <c r="F167" i="6"/>
  <c r="K160" i="6"/>
  <c r="E161" i="6"/>
  <c r="H162" i="6" s="1"/>
  <c r="J168" i="6" l="1"/>
  <c r="G168" i="6"/>
  <c r="I168" i="6"/>
  <c r="F168" i="6"/>
  <c r="K161" i="6"/>
  <c r="E162" i="6"/>
  <c r="H163" i="6" s="1"/>
  <c r="J169" i="6" l="1"/>
  <c r="G169" i="6"/>
  <c r="I169" i="6"/>
  <c r="F169" i="6"/>
  <c r="K162" i="6"/>
  <c r="E163" i="6"/>
  <c r="H164" i="6" s="1"/>
  <c r="J170" i="6" l="1"/>
  <c r="G170" i="6"/>
  <c r="I170" i="6"/>
  <c r="F170" i="6"/>
  <c r="K163" i="6"/>
  <c r="E164" i="6"/>
  <c r="H165" i="6" s="1"/>
  <c r="J171" i="6" l="1"/>
  <c r="G171" i="6"/>
  <c r="I171" i="6"/>
  <c r="F171" i="6"/>
  <c r="K164" i="6"/>
  <c r="E165" i="6"/>
  <c r="H166" i="6" s="1"/>
  <c r="J172" i="6" l="1"/>
  <c r="G172" i="6" s="1"/>
  <c r="I172" i="6"/>
  <c r="F172" i="6"/>
  <c r="K165" i="6"/>
  <c r="E166" i="6"/>
  <c r="H167" i="6" s="1"/>
  <c r="J173" i="6" l="1"/>
  <c r="G173" i="6"/>
  <c r="I173" i="6"/>
  <c r="F173" i="6"/>
  <c r="K166" i="6"/>
  <c r="E167" i="6"/>
  <c r="H168" i="6" s="1"/>
  <c r="J174" i="6" l="1"/>
  <c r="G174" i="6"/>
  <c r="I174" i="6"/>
  <c r="F174" i="6" s="1"/>
  <c r="K167" i="6"/>
  <c r="E168" i="6"/>
  <c r="H169" i="6" s="1"/>
  <c r="J175" i="6" l="1"/>
  <c r="G175" i="6"/>
  <c r="I175" i="6"/>
  <c r="F175" i="6" s="1"/>
  <c r="K168" i="6"/>
  <c r="E169" i="6"/>
  <c r="H170" i="6" s="1"/>
  <c r="J176" i="6" l="1"/>
  <c r="G176" i="6" s="1"/>
  <c r="I176" i="6"/>
  <c r="F176" i="6"/>
  <c r="K169" i="6"/>
  <c r="E170" i="6"/>
  <c r="H171" i="6" s="1"/>
  <c r="J177" i="6" l="1"/>
  <c r="G177" i="6"/>
  <c r="I177" i="6"/>
  <c r="F177" i="6" s="1"/>
  <c r="K170" i="6"/>
  <c r="E171" i="6"/>
  <c r="H172" i="6" s="1"/>
  <c r="J178" i="6" l="1"/>
  <c r="G178" i="6"/>
  <c r="I178" i="6"/>
  <c r="F178" i="6"/>
  <c r="K171" i="6"/>
  <c r="E172" i="6"/>
  <c r="H173" i="6" s="1"/>
  <c r="J179" i="6" l="1"/>
  <c r="G179" i="6" s="1"/>
  <c r="I179" i="6"/>
  <c r="F179" i="6"/>
  <c r="K172" i="6"/>
  <c r="E173" i="6"/>
  <c r="H174" i="6" s="1"/>
  <c r="J180" i="6" l="1"/>
  <c r="G180" i="6"/>
  <c r="I180" i="6"/>
  <c r="F180" i="6" s="1"/>
  <c r="K173" i="6"/>
  <c r="E174" i="6"/>
  <c r="H175" i="6" s="1"/>
  <c r="J181" i="6" l="1"/>
  <c r="G181" i="6"/>
  <c r="I181" i="6"/>
  <c r="F181" i="6" s="1"/>
  <c r="K174" i="6"/>
  <c r="E175" i="6"/>
  <c r="H176" i="6" s="1"/>
  <c r="J182" i="6" l="1"/>
  <c r="G182" i="6" s="1"/>
  <c r="I182" i="6"/>
  <c r="F182" i="6"/>
  <c r="K175" i="6"/>
  <c r="E176" i="6"/>
  <c r="H177" i="6" s="1"/>
  <c r="J183" i="6" l="1"/>
  <c r="G183" i="6"/>
  <c r="I183" i="6"/>
  <c r="F183" i="6" s="1"/>
  <c r="K176" i="6"/>
  <c r="E177" i="6"/>
  <c r="H178" i="6" s="1"/>
  <c r="K177" i="6" l="1"/>
  <c r="E178" i="6"/>
  <c r="H179" i="6" s="1"/>
  <c r="K178" i="6" l="1"/>
  <c r="E179" i="6"/>
  <c r="H180" i="6" s="1"/>
  <c r="K179" i="6" l="1"/>
  <c r="E180" i="6"/>
  <c r="H181" i="6" s="1"/>
  <c r="K180" i="6" l="1"/>
  <c r="E181" i="6"/>
  <c r="H182" i="6" s="1"/>
  <c r="K181" i="6" l="1"/>
  <c r="E182" i="6"/>
  <c r="H183" i="6" s="1"/>
  <c r="K182" i="6" l="1"/>
  <c r="M5" i="6" l="1"/>
  <c r="H184" i="6"/>
  <c r="E183" i="6"/>
  <c r="K183" i="6" s="1"/>
  <c r="L2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4D5108-03D6-425E-BFEE-C8810D289C4A}" keepAlive="1" name="Zapytanie — kopalnie" description="Połączenie z zapytaniem „kopalnie” w skoroszycie." type="5" refreshedVersion="0" background="1">
    <dbPr connection="Provider=Microsoft.Mashup.OleDb.1;Data Source=$Workbook$;Location=kopalnie;Extended Properties=&quot;&quot;" command="SELECT * FROM [kopalnie]"/>
  </connection>
</connections>
</file>

<file path=xl/sharedStrings.xml><?xml version="1.0" encoding="utf-8"?>
<sst xmlns="http://schemas.openxmlformats.org/spreadsheetml/2006/main" count="54" uniqueCount="29">
  <si>
    <t>Bodnarka</t>
  </si>
  <si>
    <t>Czarny Diament</t>
  </si>
  <si>
    <t>Skarb Slaska</t>
  </si>
  <si>
    <t>data</t>
  </si>
  <si>
    <t>d tygodnia</t>
  </si>
  <si>
    <t>wydobycie B</t>
  </si>
  <si>
    <t>wydobycie D</t>
  </si>
  <si>
    <t>wydobycie S</t>
  </si>
  <si>
    <t>B wieksze</t>
  </si>
  <si>
    <t>C wieksze</t>
  </si>
  <si>
    <t>S wieksze</t>
  </si>
  <si>
    <t>Etykiety wierszy</t>
  </si>
  <si>
    <t>Suma końcowa</t>
  </si>
  <si>
    <t>sty</t>
  </si>
  <si>
    <t>lut</t>
  </si>
  <si>
    <t>mar</t>
  </si>
  <si>
    <t>paź</t>
  </si>
  <si>
    <t>lis</t>
  </si>
  <si>
    <t>gru</t>
  </si>
  <si>
    <t>Suma z Bodnarka</t>
  </si>
  <si>
    <t>Suma z Czarny Diament</t>
  </si>
  <si>
    <t>Suma z Skarb Slaska</t>
  </si>
  <si>
    <t>hałda B</t>
  </si>
  <si>
    <t>gałda C</t>
  </si>
  <si>
    <t>hałda S</t>
  </si>
  <si>
    <t>ile wyjechalo B</t>
  </si>
  <si>
    <t>ile wyjechało C</t>
  </si>
  <si>
    <t>ile wyjechalo S</t>
  </si>
  <si>
    <t>ile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</si>
</sst>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14" fontId="0" fillId="0" borderId="0" xfId="0" applyNumberFormat="1"/>
    <xf numFmtId="0" fontId="0" fillId="0" borderId="0" xfId="0" applyNumberFormat="1"/>
    <xf numFmtId="0" fontId="1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wydobycie</a:t>
            </a:r>
            <a:r>
              <a:rPr lang="pl-PL" baseline="0"/>
              <a:t> węgla w każdym miesiącu dla poszczególnej kawiarni</a:t>
            </a:r>
            <a:endParaRPr lang="pl-PL"/>
          </a:p>
        </c:rich>
      </c:tx>
      <c:layout>
        <c:manualLayout>
          <c:xMode val="edge"/>
          <c:yMode val="edge"/>
          <c:x val="0.15491575787936784"/>
          <c:y val="5.22875601718655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zad3!$H$13</c:f>
              <c:strCache>
                <c:ptCount val="1"/>
                <c:pt idx="0">
                  <c:v>Bodnarka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zad3!$G$14:$G$19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zad3!$H$14:$H$19</c:f>
              <c:numCache>
                <c:formatCode>General</c:formatCode>
                <c:ptCount val="6"/>
                <c:pt idx="0">
                  <c:v>121697</c:v>
                </c:pt>
                <c:pt idx="1">
                  <c:v>113335</c:v>
                </c:pt>
                <c:pt idx="2">
                  <c:v>129079</c:v>
                </c:pt>
                <c:pt idx="3">
                  <c:v>124330</c:v>
                </c:pt>
                <c:pt idx="4">
                  <c:v>118834</c:v>
                </c:pt>
                <c:pt idx="5">
                  <c:v>125817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D8-4339-B846-CE7072D6DD4D}"/>
            </c:ext>
          </c:extLst>
        </c:ser>
        <c:ser>
          <c:idx val="1"/>
          <c:order val="1"/>
          <c:tx>
            <c:strRef>
              <c:f>zad3!$I$13</c:f>
              <c:strCache>
                <c:ptCount val="1"/>
                <c:pt idx="0">
                  <c:v>Czarny Diament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zad3!$G$14:$G$19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zad3!$I$14:$I$19</c:f>
              <c:numCache>
                <c:formatCode>General</c:formatCode>
                <c:ptCount val="6"/>
                <c:pt idx="0">
                  <c:v>119458</c:v>
                </c:pt>
                <c:pt idx="1">
                  <c:v>106231</c:v>
                </c:pt>
                <c:pt idx="2">
                  <c:v>109074</c:v>
                </c:pt>
                <c:pt idx="3">
                  <c:v>114669</c:v>
                </c:pt>
                <c:pt idx="4">
                  <c:v>111871</c:v>
                </c:pt>
                <c:pt idx="5">
                  <c:v>112122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D8-4339-B846-CE7072D6DD4D}"/>
            </c:ext>
          </c:extLst>
        </c:ser>
        <c:ser>
          <c:idx val="2"/>
          <c:order val="2"/>
          <c:tx>
            <c:strRef>
              <c:f>zad3!$J$13</c:f>
              <c:strCache>
                <c:ptCount val="1"/>
                <c:pt idx="0">
                  <c:v>Skarb Slaska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zad3!$G$14:$G$19</c:f>
              <c:strCache>
                <c:ptCount val="6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paź</c:v>
                </c:pt>
                <c:pt idx="4">
                  <c:v>lis</c:v>
                </c:pt>
                <c:pt idx="5">
                  <c:v>gru</c:v>
                </c:pt>
              </c:strCache>
            </c:strRef>
          </c:cat>
          <c:val>
            <c:numRef>
              <c:f>zad3!$J$14:$J$19</c:f>
              <c:numCache>
                <c:formatCode>General</c:formatCode>
                <c:ptCount val="6"/>
                <c:pt idx="0">
                  <c:v>121701</c:v>
                </c:pt>
                <c:pt idx="1">
                  <c:v>113728</c:v>
                </c:pt>
                <c:pt idx="2">
                  <c:v>125092</c:v>
                </c:pt>
                <c:pt idx="3">
                  <c:v>122854</c:v>
                </c:pt>
                <c:pt idx="4">
                  <c:v>120859</c:v>
                </c:pt>
                <c:pt idx="5">
                  <c:v>124476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D8-4339-B846-CE7072D6D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0677584"/>
        <c:axId val="880694384"/>
      </c:barChart>
      <c:catAx>
        <c:axId val="88067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0694384"/>
        <c:crosses val="autoZero"/>
        <c:auto val="1"/>
        <c:lblAlgn val="ctr"/>
        <c:lblOffset val="100"/>
        <c:noMultiLvlLbl val="0"/>
      </c:catAx>
      <c:valAx>
        <c:axId val="88069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wydobycie</a:t>
                </a:r>
                <a:r>
                  <a:rPr lang="pl-PL" baseline="0"/>
                  <a:t> [tony]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806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1181099</xdr:colOff>
      <xdr:row>20</xdr:row>
      <xdr:rowOff>185736</xdr:rowOff>
    </xdr:from>
    <xdr:to>
      <xdr:col>11</xdr:col>
      <xdr:colOff>619124</xdr:colOff>
      <xdr:row>40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347C5FB-93C4-A32A-AA7E-FD50BC1462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a Hasse" refreshedDate="46154.607293287037" createdVersion="8" refreshedVersion="8" minRefreshableVersion="3" recordCount="182" xr:uid="{BDE25371-FEF7-4BF2-9F06-2506A94B0F8D}">
  <cacheSource type="worksheet">
    <worksheetSource ref="A1:D183" sheet="zad3"/>
  </cacheSource>
  <cacheFields count="7">
    <cacheField name="data" numFmtId="14">
      <sharedItems containsSemiMixedTypes="0" containsNonDate="0" containsDate="1" containsString="0" minDate="2025-10-01T00:00:00" maxDate="2026-04-01T00:00:00" count="182"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</sharedItems>
      <fieldGroup par="6"/>
    </cacheField>
    <cacheField name="Bodnarka" numFmtId="0">
      <sharedItems containsSemiMixedTypes="0" containsString="0" containsNumber="1" containsInteger="1" minValue="3002" maxValue="4998" count="176">
        <n v="3486"/>
        <n v="4960"/>
        <n v="3662"/>
        <n v="4123"/>
        <n v="4729"/>
        <n v="4219"/>
        <n v="4159"/>
        <n v="4831"/>
        <n v="3679"/>
        <n v="4005"/>
        <n v="3943"/>
        <n v="3904"/>
        <n v="4521"/>
        <n v="3388"/>
        <n v="4550"/>
        <n v="3471"/>
        <n v="3774"/>
        <n v="4296"/>
        <n v="4491"/>
        <n v="3951"/>
        <n v="3653"/>
        <n v="3848"/>
        <n v="3915"/>
        <n v="3876"/>
        <n v="4335"/>
        <n v="3418"/>
        <n v="3230"/>
        <n v="3066"/>
        <n v="4823"/>
        <n v="3533"/>
        <n v="4965"/>
        <n v="4813"/>
        <n v="3837"/>
        <n v="3948"/>
        <n v="3918"/>
        <n v="3301"/>
        <n v="3310"/>
        <n v="4177"/>
        <n v="3646"/>
        <n v="3603"/>
        <n v="4500"/>
        <n v="4642"/>
        <n v="4280"/>
        <n v="3307"/>
        <n v="3132"/>
        <n v="3438"/>
        <n v="4209"/>
        <n v="3469"/>
        <n v="3964"/>
        <n v="3464"/>
        <n v="4762"/>
        <n v="3239"/>
        <n v="4722"/>
        <n v="4398"/>
        <n v="3950"/>
        <n v="3089"/>
        <n v="4408"/>
        <n v="3732"/>
        <n v="4706"/>
        <n v="3905"/>
        <n v="4369"/>
        <n v="4186"/>
        <n v="3780"/>
        <n v="3859"/>
        <n v="4842"/>
        <n v="4461"/>
        <n v="3676"/>
        <n v="4173"/>
        <n v="3982"/>
        <n v="4507"/>
        <n v="3574"/>
        <n v="3514"/>
        <n v="3825"/>
        <n v="3839"/>
        <n v="4686"/>
        <n v="3155"/>
        <n v="3375"/>
        <n v="4396"/>
        <n v="4371"/>
        <n v="3493"/>
        <n v="3809"/>
        <n v="3783"/>
        <n v="3651"/>
        <n v="4785"/>
        <n v="4756"/>
        <n v="3615"/>
        <n v="4570"/>
        <n v="3598"/>
        <n v="4365"/>
        <n v="4998"/>
        <n v="3824"/>
        <n v="3168"/>
        <n v="4042"/>
        <n v="4346"/>
        <n v="4903"/>
        <n v="4202"/>
        <n v="3594"/>
        <n v="4837"/>
        <n v="3528"/>
        <n v="4869"/>
        <n v="4270"/>
        <n v="4266"/>
        <n v="4714"/>
        <n v="3953"/>
        <n v="3659"/>
        <n v="3879"/>
        <n v="3914"/>
        <n v="3339"/>
        <n v="3162"/>
        <n v="3060"/>
        <n v="3030"/>
        <n v="4179"/>
        <n v="4608"/>
        <n v="3033"/>
        <n v="4026"/>
        <n v="3351"/>
        <n v="4157"/>
        <n v="3435"/>
        <n v="3210"/>
        <n v="3472"/>
        <n v="4654"/>
        <n v="4533"/>
        <n v="4473"/>
        <n v="4325"/>
        <n v="4048"/>
        <n v="3142"/>
        <n v="4400"/>
        <n v="4885"/>
        <n v="4586"/>
        <n v="4994"/>
        <n v="4127"/>
        <n v="3554"/>
        <n v="3048"/>
        <n v="3242"/>
        <n v="3462"/>
        <n v="4609"/>
        <n v="4569"/>
        <n v="3112"/>
        <n v="3723"/>
        <n v="3787"/>
        <n v="4927"/>
        <n v="4555"/>
        <n v="4205"/>
        <n v="4770"/>
        <n v="3094"/>
        <n v="3193"/>
        <n v="4267"/>
        <n v="4436"/>
        <n v="4542"/>
        <n v="3141"/>
        <n v="4627"/>
        <n v="4379"/>
        <n v="4860"/>
        <n v="4558"/>
        <n v="4818"/>
        <n v="4873"/>
        <n v="3002"/>
        <n v="4003"/>
        <n v="3601"/>
        <n v="3733"/>
        <n v="3930"/>
        <n v="3423"/>
        <n v="4757"/>
        <n v="3712"/>
        <n v="4292"/>
        <n v="3522"/>
        <n v="4008"/>
        <n v="4580"/>
        <n v="3829"/>
        <n v="3744"/>
        <n v="4501"/>
        <n v="4726"/>
        <n v="3730"/>
        <n v="3956"/>
        <n v="4579"/>
        <n v="4997"/>
      </sharedItems>
    </cacheField>
    <cacheField name="Czarny Diament" numFmtId="0">
      <sharedItems containsSemiMixedTypes="0" containsString="0" containsNumber="1" containsInteger="1" minValue="2503" maxValue="4985" count="175">
        <n v="3232"/>
        <n v="2504"/>
        <n v="4613"/>
        <n v="4186"/>
        <n v="3850"/>
        <n v="4006"/>
        <n v="4617"/>
        <n v="2933"/>
        <n v="4671"/>
        <n v="4305"/>
        <n v="3667"/>
        <n v="3432"/>
        <n v="3098"/>
        <n v="4492"/>
        <n v="3393"/>
        <n v="2930"/>
        <n v="3220"/>
        <n v="3366"/>
        <n v="3368"/>
        <n v="3372"/>
        <n v="3752"/>
        <n v="4480"/>
        <n v="4019"/>
        <n v="4415"/>
        <n v="4802"/>
        <n v="2508"/>
        <n v="3594"/>
        <n v="2774"/>
        <n v="3374"/>
        <n v="4830"/>
        <n v="2866"/>
        <n v="4199"/>
        <n v="4912"/>
        <n v="2720"/>
        <n v="3545"/>
        <n v="3785"/>
        <n v="2716"/>
        <n v="3087"/>
        <n v="4622"/>
        <n v="4985"/>
        <n v="4658"/>
        <n v="3721"/>
        <n v="2622"/>
        <n v="4450"/>
        <n v="3118"/>
        <n v="2559"/>
        <n v="4094"/>
        <n v="3582"/>
        <n v="4282"/>
        <n v="3816"/>
        <n v="3842"/>
        <n v="3124"/>
        <n v="4675"/>
        <n v="3072"/>
        <n v="3684"/>
        <n v="3898"/>
        <n v="2923"/>
        <n v="2542"/>
        <n v="3760"/>
        <n v="4048"/>
        <n v="4468"/>
        <n v="3808"/>
        <n v="3894"/>
        <n v="3335"/>
        <n v="4325"/>
        <n v="3535"/>
        <n v="3549"/>
        <n v="3281"/>
        <n v="3500"/>
        <n v="4263"/>
        <n v="2503"/>
        <n v="3589"/>
        <n v="3615"/>
        <n v="3962"/>
        <n v="2918"/>
        <n v="4732"/>
        <n v="3272"/>
        <n v="2882"/>
        <n v="3799"/>
        <n v="4308"/>
        <n v="3070"/>
        <n v="3648"/>
        <n v="3608"/>
        <n v="2907"/>
        <n v="3854"/>
        <n v="2857"/>
        <n v="3805"/>
        <n v="3553"/>
        <n v="3365"/>
        <n v="3612"/>
        <n v="4708"/>
        <n v="4551"/>
        <n v="4149"/>
        <n v="4370"/>
        <n v="3920"/>
        <n v="4538"/>
        <n v="3455"/>
        <n v="3524"/>
        <n v="2564"/>
        <n v="3659"/>
        <n v="3961"/>
        <n v="3735"/>
        <n v="4143"/>
        <n v="4604"/>
        <n v="3409"/>
        <n v="3542"/>
        <n v="2896"/>
        <n v="4654"/>
        <n v="4743"/>
        <n v="3640"/>
        <n v="2935"/>
        <n v="3819"/>
        <n v="2995"/>
        <n v="3804"/>
        <n v="4105"/>
        <n v="4678"/>
        <n v="2845"/>
        <n v="3921"/>
        <n v="4096"/>
        <n v="3080"/>
        <n v="4971"/>
        <n v="3814"/>
        <n v="3187"/>
        <n v="2556"/>
        <n v="3697"/>
        <n v="4840"/>
        <n v="4696"/>
        <n v="4554"/>
        <n v="3979"/>
        <n v="3480"/>
        <n v="4347"/>
        <n v="4274"/>
        <n v="2627"/>
        <n v="4779"/>
        <n v="3559"/>
        <n v="2592"/>
        <n v="3121"/>
        <n v="4515"/>
        <n v="4484"/>
        <n v="3405"/>
        <n v="4814"/>
        <n v="4148"/>
        <n v="4280"/>
        <n v="2813"/>
        <n v="2618"/>
        <n v="2516"/>
        <n v="3240"/>
        <n v="4108"/>
        <n v="2731"/>
        <n v="2834"/>
        <n v="4815"/>
        <n v="2729"/>
        <n v="4126"/>
        <n v="3127"/>
        <n v="2612"/>
        <n v="3600"/>
        <n v="3048"/>
        <n v="2847"/>
        <n v="2588"/>
        <n v="3459"/>
        <n v="4489"/>
        <n v="3899"/>
        <n v="4425"/>
        <n v="3011"/>
        <n v="2877"/>
        <n v="3838"/>
        <n v="3097"/>
        <n v="3345"/>
        <n v="4433"/>
        <n v="4285"/>
        <n v="3226"/>
        <n v="4461"/>
        <n v="3914"/>
        <n v="4170"/>
        <n v="3750"/>
      </sharedItems>
    </cacheField>
    <cacheField name="Skarb Slaska" numFmtId="0">
      <sharedItems containsSemiMixedTypes="0" containsString="0" containsNumber="1" containsInteger="1" minValue="3501" maxValue="4499" count="169">
        <n v="4197"/>
        <n v="3583"/>
        <n v="3929"/>
        <n v="3527"/>
        <n v="4169"/>
        <n v="3604"/>
        <n v="4245"/>
        <n v="4396"/>
        <n v="4429"/>
        <n v="3752"/>
        <n v="3663"/>
        <n v="4493"/>
        <n v="4316"/>
        <n v="3501"/>
        <n v="4195"/>
        <n v="3843"/>
        <n v="3684"/>
        <n v="3726"/>
        <n v="4178"/>
        <n v="3891"/>
        <n v="3860"/>
        <n v="3510"/>
        <n v="3715"/>
        <n v="4302"/>
        <n v="3939"/>
        <n v="4460"/>
        <n v="3846"/>
        <n v="4242"/>
        <n v="3664"/>
        <n v="4315"/>
        <n v="3680"/>
        <n v="4055"/>
        <n v="4436"/>
        <n v="4330"/>
        <n v="3655"/>
        <n v="4285"/>
        <n v="4272"/>
        <n v="4059"/>
        <n v="4270"/>
        <n v="3905"/>
        <n v="4082"/>
        <n v="4045"/>
        <n v="3630"/>
        <n v="3551"/>
        <n v="4231"/>
        <n v="4323"/>
        <n v="3533"/>
        <n v="3578"/>
        <n v="3642"/>
        <n v="4038"/>
        <n v="4097"/>
        <n v="4114"/>
        <n v="4499"/>
        <n v="4282"/>
        <n v="3825"/>
        <n v="3737"/>
        <n v="4377"/>
        <n v="4322"/>
        <n v="4447"/>
        <n v="3656"/>
        <n v="4065"/>
        <n v="4341"/>
        <n v="4343"/>
        <n v="4284"/>
        <n v="4224"/>
        <n v="4469"/>
        <n v="4365"/>
        <n v="4379"/>
        <n v="4439"/>
        <n v="3886"/>
        <n v="4163"/>
        <n v="4275"/>
        <n v="4207"/>
        <n v="3885"/>
        <n v="4066"/>
        <n v="4355"/>
        <n v="3646"/>
        <n v="3529"/>
        <n v="3677"/>
        <n v="3855"/>
        <n v="3906"/>
        <n v="4369"/>
        <n v="3660"/>
        <n v="3579"/>
        <n v="3713"/>
        <n v="3821"/>
        <n v="3769"/>
        <n v="3861"/>
        <n v="3839"/>
        <n v="3928"/>
        <n v="4087"/>
        <n v="3868"/>
        <n v="4421"/>
        <n v="4413"/>
        <n v="3722"/>
        <n v="3595"/>
        <n v="3768"/>
        <n v="3669"/>
        <n v="3829"/>
        <n v="4134"/>
        <n v="3609"/>
        <n v="3971"/>
        <n v="3573"/>
        <n v="4351"/>
        <n v="3627"/>
        <n v="3766"/>
        <n v="4424"/>
        <n v="4186"/>
        <n v="3831"/>
        <n v="3605"/>
        <n v="3718"/>
        <n v="3879"/>
        <n v="3881"/>
        <n v="3818"/>
        <n v="4051"/>
        <n v="3819"/>
        <n v="3537"/>
        <n v="4401"/>
        <n v="4085"/>
        <n v="3674"/>
        <n v="3755"/>
        <n v="4060"/>
        <n v="4184"/>
        <n v="3503"/>
        <n v="3652"/>
        <n v="4464"/>
        <n v="4182"/>
        <n v="4384"/>
        <n v="4406"/>
        <n v="4115"/>
        <n v="3838"/>
        <n v="4445"/>
        <n v="3892"/>
        <n v="4056"/>
        <n v="4435"/>
        <n v="4353"/>
        <n v="3867"/>
        <n v="4289"/>
        <n v="4125"/>
        <n v="3519"/>
        <n v="4238"/>
        <n v="4263"/>
        <n v="4103"/>
        <n v="3966"/>
        <n v="4455"/>
        <n v="4415"/>
        <n v="4338"/>
        <n v="3693"/>
        <n v="3558"/>
        <n v="4477"/>
        <n v="4321"/>
        <n v="3901"/>
        <n v="3647"/>
        <n v="4215"/>
        <n v="3617"/>
        <n v="3724"/>
        <n v="4461"/>
        <n v="4113"/>
        <n v="3601"/>
        <n v="3857"/>
        <n v="4183"/>
        <n v="4400"/>
        <n v="4102"/>
        <n v="3987"/>
        <n v="3926"/>
        <n v="3619"/>
        <n v="4298"/>
        <n v="3799"/>
        <n v="4428"/>
      </sharedItems>
    </cacheField>
    <cacheField name="Miesiące (data)" numFmtId="0" databaseField="0">
      <fieldGroup base="0">
        <rangePr groupBy="months" startDate="2025-10-01T00:00:00" endDate="2026-04-01T00:00:00"/>
        <groupItems count="14">
          <s v="&lt;01.10.2025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4.2026"/>
        </groupItems>
      </fieldGroup>
    </cacheField>
    <cacheField name="Kwartały (data)" numFmtId="0" databaseField="0">
      <fieldGroup base="0">
        <rangePr groupBy="quarters" startDate="2025-10-01T00:00:00" endDate="2026-04-01T00:00:00"/>
        <groupItems count="6">
          <s v="&lt;01.10.2025"/>
          <s v="Kwartał1"/>
          <s v="Kwartał2"/>
          <s v="Kwartał3"/>
          <s v="Kwartał4"/>
          <s v="&gt;01.04.2026"/>
        </groupItems>
      </fieldGroup>
    </cacheField>
    <cacheField name="Lata (data)" numFmtId="0" databaseField="0">
      <fieldGroup base="0">
        <rangePr groupBy="years" startDate="2025-10-01T00:00:00" endDate="2026-04-01T00:00:00"/>
        <groupItems count="4">
          <s v="&lt;01.10.2025"/>
          <s v="2025"/>
          <s v="2026"/>
          <s v="&gt;01.04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">
  <r>
    <x v="0"/>
    <x v="0"/>
    <x v="0"/>
    <x v="0"/>
  </r>
  <r>
    <x v="1"/>
    <x v="1"/>
    <x v="1"/>
    <x v="1"/>
  </r>
  <r>
    <x v="2"/>
    <x v="2"/>
    <x v="2"/>
    <x v="2"/>
  </r>
  <r>
    <x v="3"/>
    <x v="3"/>
    <x v="3"/>
    <x v="3"/>
  </r>
  <r>
    <x v="4"/>
    <x v="4"/>
    <x v="4"/>
    <x v="4"/>
  </r>
  <r>
    <x v="5"/>
    <x v="5"/>
    <x v="5"/>
    <x v="5"/>
  </r>
  <r>
    <x v="6"/>
    <x v="6"/>
    <x v="6"/>
    <x v="6"/>
  </r>
  <r>
    <x v="7"/>
    <x v="7"/>
    <x v="7"/>
    <x v="7"/>
  </r>
  <r>
    <x v="8"/>
    <x v="8"/>
    <x v="8"/>
    <x v="8"/>
  </r>
  <r>
    <x v="9"/>
    <x v="9"/>
    <x v="9"/>
    <x v="9"/>
  </r>
  <r>
    <x v="10"/>
    <x v="10"/>
    <x v="10"/>
    <x v="10"/>
  </r>
  <r>
    <x v="11"/>
    <x v="11"/>
    <x v="11"/>
    <x v="11"/>
  </r>
  <r>
    <x v="12"/>
    <x v="12"/>
    <x v="12"/>
    <x v="12"/>
  </r>
  <r>
    <x v="13"/>
    <x v="13"/>
    <x v="13"/>
    <x v="13"/>
  </r>
  <r>
    <x v="14"/>
    <x v="14"/>
    <x v="14"/>
    <x v="14"/>
  </r>
  <r>
    <x v="15"/>
    <x v="15"/>
    <x v="15"/>
    <x v="15"/>
  </r>
  <r>
    <x v="16"/>
    <x v="16"/>
    <x v="16"/>
    <x v="16"/>
  </r>
  <r>
    <x v="17"/>
    <x v="17"/>
    <x v="17"/>
    <x v="17"/>
  </r>
  <r>
    <x v="18"/>
    <x v="18"/>
    <x v="18"/>
    <x v="18"/>
  </r>
  <r>
    <x v="19"/>
    <x v="19"/>
    <x v="19"/>
    <x v="19"/>
  </r>
  <r>
    <x v="20"/>
    <x v="18"/>
    <x v="20"/>
    <x v="20"/>
  </r>
  <r>
    <x v="21"/>
    <x v="20"/>
    <x v="21"/>
    <x v="21"/>
  </r>
  <r>
    <x v="22"/>
    <x v="21"/>
    <x v="22"/>
    <x v="22"/>
  </r>
  <r>
    <x v="23"/>
    <x v="22"/>
    <x v="23"/>
    <x v="23"/>
  </r>
  <r>
    <x v="24"/>
    <x v="23"/>
    <x v="24"/>
    <x v="24"/>
  </r>
  <r>
    <x v="25"/>
    <x v="24"/>
    <x v="25"/>
    <x v="25"/>
  </r>
  <r>
    <x v="26"/>
    <x v="25"/>
    <x v="26"/>
    <x v="26"/>
  </r>
  <r>
    <x v="27"/>
    <x v="26"/>
    <x v="27"/>
    <x v="27"/>
  </r>
  <r>
    <x v="28"/>
    <x v="27"/>
    <x v="28"/>
    <x v="28"/>
  </r>
  <r>
    <x v="29"/>
    <x v="28"/>
    <x v="29"/>
    <x v="29"/>
  </r>
  <r>
    <x v="30"/>
    <x v="29"/>
    <x v="30"/>
    <x v="30"/>
  </r>
  <r>
    <x v="31"/>
    <x v="30"/>
    <x v="31"/>
    <x v="31"/>
  </r>
  <r>
    <x v="32"/>
    <x v="31"/>
    <x v="32"/>
    <x v="32"/>
  </r>
  <r>
    <x v="33"/>
    <x v="32"/>
    <x v="33"/>
    <x v="33"/>
  </r>
  <r>
    <x v="34"/>
    <x v="33"/>
    <x v="34"/>
    <x v="34"/>
  </r>
  <r>
    <x v="35"/>
    <x v="34"/>
    <x v="29"/>
    <x v="35"/>
  </r>
  <r>
    <x v="36"/>
    <x v="35"/>
    <x v="35"/>
    <x v="36"/>
  </r>
  <r>
    <x v="37"/>
    <x v="36"/>
    <x v="36"/>
    <x v="37"/>
  </r>
  <r>
    <x v="38"/>
    <x v="37"/>
    <x v="37"/>
    <x v="38"/>
  </r>
  <r>
    <x v="39"/>
    <x v="38"/>
    <x v="38"/>
    <x v="39"/>
  </r>
  <r>
    <x v="40"/>
    <x v="39"/>
    <x v="39"/>
    <x v="40"/>
  </r>
  <r>
    <x v="41"/>
    <x v="40"/>
    <x v="40"/>
    <x v="1"/>
  </r>
  <r>
    <x v="42"/>
    <x v="41"/>
    <x v="41"/>
    <x v="41"/>
  </r>
  <r>
    <x v="43"/>
    <x v="42"/>
    <x v="42"/>
    <x v="42"/>
  </r>
  <r>
    <x v="44"/>
    <x v="43"/>
    <x v="43"/>
    <x v="43"/>
  </r>
  <r>
    <x v="45"/>
    <x v="44"/>
    <x v="44"/>
    <x v="44"/>
  </r>
  <r>
    <x v="46"/>
    <x v="45"/>
    <x v="45"/>
    <x v="45"/>
  </r>
  <r>
    <x v="47"/>
    <x v="46"/>
    <x v="46"/>
    <x v="46"/>
  </r>
  <r>
    <x v="48"/>
    <x v="47"/>
    <x v="47"/>
    <x v="47"/>
  </r>
  <r>
    <x v="49"/>
    <x v="48"/>
    <x v="48"/>
    <x v="48"/>
  </r>
  <r>
    <x v="50"/>
    <x v="49"/>
    <x v="49"/>
    <x v="49"/>
  </r>
  <r>
    <x v="51"/>
    <x v="50"/>
    <x v="50"/>
    <x v="50"/>
  </r>
  <r>
    <x v="52"/>
    <x v="51"/>
    <x v="51"/>
    <x v="51"/>
  </r>
  <r>
    <x v="53"/>
    <x v="52"/>
    <x v="52"/>
    <x v="52"/>
  </r>
  <r>
    <x v="54"/>
    <x v="53"/>
    <x v="53"/>
    <x v="53"/>
  </r>
  <r>
    <x v="55"/>
    <x v="54"/>
    <x v="54"/>
    <x v="54"/>
  </r>
  <r>
    <x v="56"/>
    <x v="55"/>
    <x v="55"/>
    <x v="55"/>
  </r>
  <r>
    <x v="57"/>
    <x v="56"/>
    <x v="56"/>
    <x v="56"/>
  </r>
  <r>
    <x v="58"/>
    <x v="57"/>
    <x v="57"/>
    <x v="57"/>
  </r>
  <r>
    <x v="59"/>
    <x v="58"/>
    <x v="58"/>
    <x v="58"/>
  </r>
  <r>
    <x v="60"/>
    <x v="59"/>
    <x v="59"/>
    <x v="59"/>
  </r>
  <r>
    <x v="61"/>
    <x v="60"/>
    <x v="60"/>
    <x v="47"/>
  </r>
  <r>
    <x v="62"/>
    <x v="61"/>
    <x v="61"/>
    <x v="60"/>
  </r>
  <r>
    <x v="63"/>
    <x v="62"/>
    <x v="62"/>
    <x v="61"/>
  </r>
  <r>
    <x v="64"/>
    <x v="63"/>
    <x v="63"/>
    <x v="62"/>
  </r>
  <r>
    <x v="65"/>
    <x v="64"/>
    <x v="64"/>
    <x v="63"/>
  </r>
  <r>
    <x v="66"/>
    <x v="65"/>
    <x v="65"/>
    <x v="64"/>
  </r>
  <r>
    <x v="67"/>
    <x v="66"/>
    <x v="66"/>
    <x v="65"/>
  </r>
  <r>
    <x v="68"/>
    <x v="67"/>
    <x v="67"/>
    <x v="66"/>
  </r>
  <r>
    <x v="69"/>
    <x v="68"/>
    <x v="68"/>
    <x v="67"/>
  </r>
  <r>
    <x v="70"/>
    <x v="69"/>
    <x v="69"/>
    <x v="68"/>
  </r>
  <r>
    <x v="71"/>
    <x v="70"/>
    <x v="70"/>
    <x v="69"/>
  </r>
  <r>
    <x v="72"/>
    <x v="71"/>
    <x v="71"/>
    <x v="70"/>
  </r>
  <r>
    <x v="73"/>
    <x v="72"/>
    <x v="72"/>
    <x v="71"/>
  </r>
  <r>
    <x v="74"/>
    <x v="73"/>
    <x v="73"/>
    <x v="72"/>
  </r>
  <r>
    <x v="75"/>
    <x v="74"/>
    <x v="74"/>
    <x v="73"/>
  </r>
  <r>
    <x v="76"/>
    <x v="75"/>
    <x v="75"/>
    <x v="74"/>
  </r>
  <r>
    <x v="77"/>
    <x v="76"/>
    <x v="76"/>
    <x v="75"/>
  </r>
  <r>
    <x v="78"/>
    <x v="77"/>
    <x v="77"/>
    <x v="76"/>
  </r>
  <r>
    <x v="79"/>
    <x v="78"/>
    <x v="78"/>
    <x v="77"/>
  </r>
  <r>
    <x v="80"/>
    <x v="79"/>
    <x v="79"/>
    <x v="78"/>
  </r>
  <r>
    <x v="81"/>
    <x v="80"/>
    <x v="9"/>
    <x v="79"/>
  </r>
  <r>
    <x v="82"/>
    <x v="81"/>
    <x v="80"/>
    <x v="80"/>
  </r>
  <r>
    <x v="83"/>
    <x v="82"/>
    <x v="81"/>
    <x v="81"/>
  </r>
  <r>
    <x v="84"/>
    <x v="83"/>
    <x v="82"/>
    <x v="82"/>
  </r>
  <r>
    <x v="85"/>
    <x v="84"/>
    <x v="83"/>
    <x v="83"/>
  </r>
  <r>
    <x v="86"/>
    <x v="85"/>
    <x v="84"/>
    <x v="84"/>
  </r>
  <r>
    <x v="87"/>
    <x v="86"/>
    <x v="85"/>
    <x v="85"/>
  </r>
  <r>
    <x v="88"/>
    <x v="87"/>
    <x v="86"/>
    <x v="86"/>
  </r>
  <r>
    <x v="89"/>
    <x v="88"/>
    <x v="87"/>
    <x v="87"/>
  </r>
  <r>
    <x v="90"/>
    <x v="89"/>
    <x v="88"/>
    <x v="88"/>
  </r>
  <r>
    <x v="91"/>
    <x v="90"/>
    <x v="89"/>
    <x v="89"/>
  </r>
  <r>
    <x v="92"/>
    <x v="91"/>
    <x v="90"/>
    <x v="90"/>
  </r>
  <r>
    <x v="93"/>
    <x v="92"/>
    <x v="91"/>
    <x v="91"/>
  </r>
  <r>
    <x v="94"/>
    <x v="93"/>
    <x v="92"/>
    <x v="28"/>
  </r>
  <r>
    <x v="95"/>
    <x v="94"/>
    <x v="93"/>
    <x v="92"/>
  </r>
  <r>
    <x v="96"/>
    <x v="95"/>
    <x v="94"/>
    <x v="93"/>
  </r>
  <r>
    <x v="97"/>
    <x v="96"/>
    <x v="95"/>
    <x v="94"/>
  </r>
  <r>
    <x v="98"/>
    <x v="97"/>
    <x v="96"/>
    <x v="95"/>
  </r>
  <r>
    <x v="99"/>
    <x v="98"/>
    <x v="97"/>
    <x v="96"/>
  </r>
  <r>
    <x v="100"/>
    <x v="99"/>
    <x v="98"/>
    <x v="97"/>
  </r>
  <r>
    <x v="101"/>
    <x v="100"/>
    <x v="99"/>
    <x v="98"/>
  </r>
  <r>
    <x v="102"/>
    <x v="101"/>
    <x v="100"/>
    <x v="99"/>
  </r>
  <r>
    <x v="103"/>
    <x v="102"/>
    <x v="101"/>
    <x v="100"/>
  </r>
  <r>
    <x v="104"/>
    <x v="103"/>
    <x v="102"/>
    <x v="101"/>
  </r>
  <r>
    <x v="105"/>
    <x v="104"/>
    <x v="103"/>
    <x v="102"/>
  </r>
  <r>
    <x v="106"/>
    <x v="105"/>
    <x v="23"/>
    <x v="29"/>
  </r>
  <r>
    <x v="107"/>
    <x v="106"/>
    <x v="104"/>
    <x v="103"/>
  </r>
  <r>
    <x v="108"/>
    <x v="107"/>
    <x v="105"/>
    <x v="104"/>
  </r>
  <r>
    <x v="109"/>
    <x v="108"/>
    <x v="106"/>
    <x v="105"/>
  </r>
  <r>
    <x v="110"/>
    <x v="109"/>
    <x v="107"/>
    <x v="106"/>
  </r>
  <r>
    <x v="111"/>
    <x v="110"/>
    <x v="108"/>
    <x v="107"/>
  </r>
  <r>
    <x v="112"/>
    <x v="111"/>
    <x v="109"/>
    <x v="108"/>
  </r>
  <r>
    <x v="113"/>
    <x v="112"/>
    <x v="110"/>
    <x v="109"/>
  </r>
  <r>
    <x v="114"/>
    <x v="113"/>
    <x v="111"/>
    <x v="110"/>
  </r>
  <r>
    <x v="115"/>
    <x v="114"/>
    <x v="112"/>
    <x v="111"/>
  </r>
  <r>
    <x v="116"/>
    <x v="115"/>
    <x v="113"/>
    <x v="112"/>
  </r>
  <r>
    <x v="117"/>
    <x v="116"/>
    <x v="114"/>
    <x v="113"/>
  </r>
  <r>
    <x v="118"/>
    <x v="117"/>
    <x v="115"/>
    <x v="114"/>
  </r>
  <r>
    <x v="119"/>
    <x v="118"/>
    <x v="116"/>
    <x v="4"/>
  </r>
  <r>
    <x v="120"/>
    <x v="119"/>
    <x v="117"/>
    <x v="115"/>
  </r>
  <r>
    <x v="121"/>
    <x v="120"/>
    <x v="118"/>
    <x v="116"/>
  </r>
  <r>
    <x v="122"/>
    <x v="97"/>
    <x v="119"/>
    <x v="117"/>
  </r>
  <r>
    <x v="123"/>
    <x v="121"/>
    <x v="120"/>
    <x v="118"/>
  </r>
  <r>
    <x v="124"/>
    <x v="122"/>
    <x v="121"/>
    <x v="119"/>
  </r>
  <r>
    <x v="125"/>
    <x v="123"/>
    <x v="122"/>
    <x v="120"/>
  </r>
  <r>
    <x v="126"/>
    <x v="124"/>
    <x v="123"/>
    <x v="121"/>
  </r>
  <r>
    <x v="127"/>
    <x v="125"/>
    <x v="124"/>
    <x v="122"/>
  </r>
  <r>
    <x v="128"/>
    <x v="126"/>
    <x v="125"/>
    <x v="123"/>
  </r>
  <r>
    <x v="129"/>
    <x v="127"/>
    <x v="126"/>
    <x v="124"/>
  </r>
  <r>
    <x v="130"/>
    <x v="128"/>
    <x v="127"/>
    <x v="125"/>
  </r>
  <r>
    <x v="131"/>
    <x v="8"/>
    <x v="128"/>
    <x v="96"/>
  </r>
  <r>
    <x v="132"/>
    <x v="129"/>
    <x v="17"/>
    <x v="75"/>
  </r>
  <r>
    <x v="133"/>
    <x v="130"/>
    <x v="129"/>
    <x v="126"/>
  </r>
  <r>
    <x v="134"/>
    <x v="131"/>
    <x v="130"/>
    <x v="127"/>
  </r>
  <r>
    <x v="135"/>
    <x v="132"/>
    <x v="31"/>
    <x v="128"/>
  </r>
  <r>
    <x v="136"/>
    <x v="114"/>
    <x v="131"/>
    <x v="129"/>
  </r>
  <r>
    <x v="137"/>
    <x v="133"/>
    <x v="132"/>
    <x v="130"/>
  </r>
  <r>
    <x v="138"/>
    <x v="134"/>
    <x v="133"/>
    <x v="131"/>
  </r>
  <r>
    <x v="139"/>
    <x v="135"/>
    <x v="134"/>
    <x v="132"/>
  </r>
  <r>
    <x v="140"/>
    <x v="136"/>
    <x v="135"/>
    <x v="133"/>
  </r>
  <r>
    <x v="141"/>
    <x v="137"/>
    <x v="136"/>
    <x v="134"/>
  </r>
  <r>
    <x v="142"/>
    <x v="138"/>
    <x v="137"/>
    <x v="135"/>
  </r>
  <r>
    <x v="143"/>
    <x v="139"/>
    <x v="138"/>
    <x v="136"/>
  </r>
  <r>
    <x v="144"/>
    <x v="140"/>
    <x v="139"/>
    <x v="137"/>
  </r>
  <r>
    <x v="145"/>
    <x v="141"/>
    <x v="140"/>
    <x v="138"/>
  </r>
  <r>
    <x v="146"/>
    <x v="142"/>
    <x v="141"/>
    <x v="139"/>
  </r>
  <r>
    <x v="147"/>
    <x v="143"/>
    <x v="142"/>
    <x v="110"/>
  </r>
  <r>
    <x v="148"/>
    <x v="144"/>
    <x v="143"/>
    <x v="140"/>
  </r>
  <r>
    <x v="149"/>
    <x v="145"/>
    <x v="144"/>
    <x v="141"/>
  </r>
  <r>
    <x v="150"/>
    <x v="146"/>
    <x v="145"/>
    <x v="142"/>
  </r>
  <r>
    <x v="151"/>
    <x v="147"/>
    <x v="146"/>
    <x v="143"/>
  </r>
  <r>
    <x v="152"/>
    <x v="148"/>
    <x v="42"/>
    <x v="144"/>
  </r>
  <r>
    <x v="153"/>
    <x v="149"/>
    <x v="147"/>
    <x v="145"/>
  </r>
  <r>
    <x v="154"/>
    <x v="150"/>
    <x v="148"/>
    <x v="60"/>
  </r>
  <r>
    <x v="155"/>
    <x v="151"/>
    <x v="149"/>
    <x v="146"/>
  </r>
  <r>
    <x v="156"/>
    <x v="152"/>
    <x v="150"/>
    <x v="147"/>
  </r>
  <r>
    <x v="157"/>
    <x v="153"/>
    <x v="151"/>
    <x v="148"/>
  </r>
  <r>
    <x v="158"/>
    <x v="154"/>
    <x v="152"/>
    <x v="149"/>
  </r>
  <r>
    <x v="159"/>
    <x v="155"/>
    <x v="153"/>
    <x v="150"/>
  </r>
  <r>
    <x v="160"/>
    <x v="156"/>
    <x v="154"/>
    <x v="151"/>
  </r>
  <r>
    <x v="161"/>
    <x v="157"/>
    <x v="155"/>
    <x v="152"/>
  </r>
  <r>
    <x v="162"/>
    <x v="158"/>
    <x v="156"/>
    <x v="153"/>
  </r>
  <r>
    <x v="163"/>
    <x v="159"/>
    <x v="157"/>
    <x v="154"/>
  </r>
  <r>
    <x v="164"/>
    <x v="160"/>
    <x v="158"/>
    <x v="30"/>
  </r>
  <r>
    <x v="165"/>
    <x v="161"/>
    <x v="159"/>
    <x v="41"/>
  </r>
  <r>
    <x v="166"/>
    <x v="162"/>
    <x v="160"/>
    <x v="155"/>
  </r>
  <r>
    <x v="167"/>
    <x v="163"/>
    <x v="161"/>
    <x v="156"/>
  </r>
  <r>
    <x v="168"/>
    <x v="99"/>
    <x v="162"/>
    <x v="157"/>
  </r>
  <r>
    <x v="169"/>
    <x v="164"/>
    <x v="163"/>
    <x v="158"/>
  </r>
  <r>
    <x v="170"/>
    <x v="165"/>
    <x v="164"/>
    <x v="159"/>
  </r>
  <r>
    <x v="171"/>
    <x v="166"/>
    <x v="18"/>
    <x v="160"/>
  </r>
  <r>
    <x v="172"/>
    <x v="115"/>
    <x v="165"/>
    <x v="161"/>
  </r>
  <r>
    <x v="173"/>
    <x v="167"/>
    <x v="166"/>
    <x v="162"/>
  </r>
  <r>
    <x v="174"/>
    <x v="168"/>
    <x v="167"/>
    <x v="163"/>
  </r>
  <r>
    <x v="175"/>
    <x v="169"/>
    <x v="168"/>
    <x v="164"/>
  </r>
  <r>
    <x v="176"/>
    <x v="170"/>
    <x v="169"/>
    <x v="165"/>
  </r>
  <r>
    <x v="177"/>
    <x v="171"/>
    <x v="170"/>
    <x v="134"/>
  </r>
  <r>
    <x v="178"/>
    <x v="172"/>
    <x v="171"/>
    <x v="166"/>
  </r>
  <r>
    <x v="179"/>
    <x v="173"/>
    <x v="172"/>
    <x v="105"/>
  </r>
  <r>
    <x v="180"/>
    <x v="174"/>
    <x v="173"/>
    <x v="167"/>
  </r>
  <r>
    <x v="181"/>
    <x v="175"/>
    <x v="174"/>
    <x v="1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54B53-EFF2-4EDD-982F-FE767CF5AA8C}" name="Tabela przestawna1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G4:J11" firstHeaderRow="0" firstDataRow="1" firstDataCol="1"/>
  <pivotFields count="7">
    <pivotField numFmtId="14" showAll="0">
      <items count="1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t="default"/>
      </items>
    </pivotField>
    <pivotField dataField="1" showAll="0">
      <items count="177">
        <item x="156"/>
        <item x="110"/>
        <item x="113"/>
        <item x="132"/>
        <item x="109"/>
        <item x="27"/>
        <item x="55"/>
        <item x="144"/>
        <item x="137"/>
        <item x="44"/>
        <item x="149"/>
        <item x="125"/>
        <item x="75"/>
        <item x="108"/>
        <item x="91"/>
        <item x="145"/>
        <item x="118"/>
        <item x="26"/>
        <item x="51"/>
        <item x="133"/>
        <item x="35"/>
        <item x="43"/>
        <item x="36"/>
        <item x="107"/>
        <item x="115"/>
        <item x="76"/>
        <item x="13"/>
        <item x="25"/>
        <item x="161"/>
        <item x="117"/>
        <item x="45"/>
        <item x="134"/>
        <item x="49"/>
        <item x="47"/>
        <item x="15"/>
        <item x="119"/>
        <item x="0"/>
        <item x="79"/>
        <item x="71"/>
        <item x="165"/>
        <item x="98"/>
        <item x="29"/>
        <item x="131"/>
        <item x="70"/>
        <item x="96"/>
        <item x="87"/>
        <item x="158"/>
        <item x="39"/>
        <item x="85"/>
        <item x="38"/>
        <item x="82"/>
        <item x="20"/>
        <item x="104"/>
        <item x="2"/>
        <item x="66"/>
        <item x="8"/>
        <item x="163"/>
        <item x="138"/>
        <item x="172"/>
        <item x="57"/>
        <item x="159"/>
        <item x="169"/>
        <item x="16"/>
        <item x="62"/>
        <item x="81"/>
        <item x="139"/>
        <item x="80"/>
        <item x="90"/>
        <item x="72"/>
        <item x="168"/>
        <item x="32"/>
        <item x="73"/>
        <item x="21"/>
        <item x="63"/>
        <item x="23"/>
        <item x="105"/>
        <item x="11"/>
        <item x="59"/>
        <item x="106"/>
        <item x="22"/>
        <item x="34"/>
        <item x="160"/>
        <item x="10"/>
        <item x="33"/>
        <item x="54"/>
        <item x="19"/>
        <item x="103"/>
        <item x="173"/>
        <item x="48"/>
        <item x="68"/>
        <item x="157"/>
        <item x="9"/>
        <item x="166"/>
        <item x="114"/>
        <item x="92"/>
        <item x="124"/>
        <item x="3"/>
        <item x="130"/>
        <item x="116"/>
        <item x="6"/>
        <item x="67"/>
        <item x="37"/>
        <item x="111"/>
        <item x="61"/>
        <item x="95"/>
        <item x="142"/>
        <item x="46"/>
        <item x="5"/>
        <item x="101"/>
        <item x="146"/>
        <item x="100"/>
        <item x="42"/>
        <item x="164"/>
        <item x="17"/>
        <item x="123"/>
        <item x="24"/>
        <item x="93"/>
        <item x="88"/>
        <item x="60"/>
        <item x="78"/>
        <item x="151"/>
        <item x="77"/>
        <item x="53"/>
        <item x="126"/>
        <item x="56"/>
        <item x="147"/>
        <item x="65"/>
        <item x="122"/>
        <item x="18"/>
        <item x="40"/>
        <item x="170"/>
        <item x="69"/>
        <item x="12"/>
        <item x="121"/>
        <item x="148"/>
        <item x="14"/>
        <item x="141"/>
        <item x="153"/>
        <item x="136"/>
        <item x="86"/>
        <item x="174"/>
        <item x="167"/>
        <item x="128"/>
        <item x="112"/>
        <item x="135"/>
        <item x="150"/>
        <item x="41"/>
        <item x="120"/>
        <item x="74"/>
        <item x="58"/>
        <item x="102"/>
        <item x="52"/>
        <item x="171"/>
        <item x="4"/>
        <item x="84"/>
        <item x="162"/>
        <item x="50"/>
        <item x="143"/>
        <item x="83"/>
        <item x="31"/>
        <item x="154"/>
        <item x="28"/>
        <item x="7"/>
        <item x="97"/>
        <item x="64"/>
        <item x="152"/>
        <item x="99"/>
        <item x="155"/>
        <item x="127"/>
        <item x="94"/>
        <item x="140"/>
        <item x="1"/>
        <item x="30"/>
        <item x="129"/>
        <item x="175"/>
        <item x="89"/>
        <item t="default"/>
      </items>
    </pivotField>
    <pivotField dataField="1" showAll="0">
      <items count="176">
        <item x="70"/>
        <item x="1"/>
        <item x="25"/>
        <item x="145"/>
        <item x="57"/>
        <item x="123"/>
        <item x="45"/>
        <item x="98"/>
        <item x="158"/>
        <item x="135"/>
        <item x="154"/>
        <item x="144"/>
        <item x="42"/>
        <item x="132"/>
        <item x="36"/>
        <item x="33"/>
        <item x="151"/>
        <item x="148"/>
        <item x="27"/>
        <item x="143"/>
        <item x="149"/>
        <item x="116"/>
        <item x="157"/>
        <item x="85"/>
        <item x="30"/>
        <item x="164"/>
        <item x="77"/>
        <item x="106"/>
        <item x="83"/>
        <item x="74"/>
        <item x="56"/>
        <item x="15"/>
        <item x="7"/>
        <item x="110"/>
        <item x="112"/>
        <item x="163"/>
        <item x="156"/>
        <item x="80"/>
        <item x="53"/>
        <item x="119"/>
        <item x="37"/>
        <item x="166"/>
        <item x="12"/>
        <item x="44"/>
        <item x="136"/>
        <item x="51"/>
        <item x="153"/>
        <item x="122"/>
        <item x="16"/>
        <item x="170"/>
        <item x="0"/>
        <item x="146"/>
        <item x="76"/>
        <item x="67"/>
        <item x="63"/>
        <item x="167"/>
        <item x="88"/>
        <item x="17"/>
        <item x="18"/>
        <item x="19"/>
        <item x="28"/>
        <item x="14"/>
        <item x="139"/>
        <item x="104"/>
        <item x="11"/>
        <item x="96"/>
        <item x="159"/>
        <item x="129"/>
        <item x="68"/>
        <item x="97"/>
        <item x="65"/>
        <item x="105"/>
        <item x="34"/>
        <item x="66"/>
        <item x="87"/>
        <item x="134"/>
        <item x="47"/>
        <item x="71"/>
        <item x="26"/>
        <item x="155"/>
        <item x="82"/>
        <item x="89"/>
        <item x="72"/>
        <item x="109"/>
        <item x="81"/>
        <item x="99"/>
        <item x="10"/>
        <item x="54"/>
        <item x="124"/>
        <item x="41"/>
        <item x="101"/>
        <item x="174"/>
        <item x="20"/>
        <item x="58"/>
        <item x="35"/>
        <item x="78"/>
        <item x="113"/>
        <item x="86"/>
        <item x="61"/>
        <item x="121"/>
        <item x="49"/>
        <item x="111"/>
        <item x="165"/>
        <item x="50"/>
        <item x="4"/>
        <item x="84"/>
        <item x="62"/>
        <item x="55"/>
        <item x="161"/>
        <item x="172"/>
        <item x="94"/>
        <item x="117"/>
        <item x="100"/>
        <item x="73"/>
        <item x="128"/>
        <item x="5"/>
        <item x="22"/>
        <item x="59"/>
        <item x="46"/>
        <item x="118"/>
        <item x="114"/>
        <item x="147"/>
        <item x="152"/>
        <item x="102"/>
        <item x="141"/>
        <item x="92"/>
        <item x="173"/>
        <item x="3"/>
        <item x="31"/>
        <item x="69"/>
        <item x="131"/>
        <item x="142"/>
        <item x="48"/>
        <item x="169"/>
        <item x="9"/>
        <item x="79"/>
        <item x="64"/>
        <item x="130"/>
        <item x="93"/>
        <item x="23"/>
        <item x="162"/>
        <item x="168"/>
        <item x="43"/>
        <item x="171"/>
        <item x="60"/>
        <item x="21"/>
        <item x="138"/>
        <item x="160"/>
        <item x="13"/>
        <item x="137"/>
        <item x="95"/>
        <item x="91"/>
        <item x="127"/>
        <item x="103"/>
        <item x="2"/>
        <item x="6"/>
        <item x="38"/>
        <item x="107"/>
        <item x="40"/>
        <item x="8"/>
        <item x="52"/>
        <item x="115"/>
        <item x="126"/>
        <item x="90"/>
        <item x="75"/>
        <item x="108"/>
        <item x="133"/>
        <item x="24"/>
        <item x="140"/>
        <item x="150"/>
        <item x="29"/>
        <item x="125"/>
        <item x="32"/>
        <item x="120"/>
        <item x="39"/>
        <item t="default"/>
      </items>
    </pivotField>
    <pivotField dataField="1" showAll="0">
      <items count="170">
        <item x="13"/>
        <item x="123"/>
        <item x="21"/>
        <item x="139"/>
        <item x="3"/>
        <item x="77"/>
        <item x="46"/>
        <item x="116"/>
        <item x="43"/>
        <item x="148"/>
        <item x="102"/>
        <item x="47"/>
        <item x="83"/>
        <item x="1"/>
        <item x="95"/>
        <item x="158"/>
        <item x="5"/>
        <item x="109"/>
        <item x="100"/>
        <item x="154"/>
        <item x="165"/>
        <item x="104"/>
        <item x="42"/>
        <item x="48"/>
        <item x="76"/>
        <item x="152"/>
        <item x="124"/>
        <item x="34"/>
        <item x="59"/>
        <item x="82"/>
        <item x="10"/>
        <item x="28"/>
        <item x="97"/>
        <item x="119"/>
        <item x="78"/>
        <item x="30"/>
        <item x="16"/>
        <item x="147"/>
        <item x="84"/>
        <item x="22"/>
        <item x="110"/>
        <item x="94"/>
        <item x="155"/>
        <item x="17"/>
        <item x="55"/>
        <item x="9"/>
        <item x="120"/>
        <item x="105"/>
        <item x="96"/>
        <item x="86"/>
        <item x="167"/>
        <item x="113"/>
        <item x="115"/>
        <item x="85"/>
        <item x="54"/>
        <item x="98"/>
        <item x="108"/>
        <item x="130"/>
        <item x="88"/>
        <item x="15"/>
        <item x="26"/>
        <item x="79"/>
        <item x="159"/>
        <item x="20"/>
        <item x="87"/>
        <item x="136"/>
        <item x="91"/>
        <item x="111"/>
        <item x="112"/>
        <item x="73"/>
        <item x="69"/>
        <item x="19"/>
        <item x="132"/>
        <item x="151"/>
        <item x="39"/>
        <item x="80"/>
        <item x="164"/>
        <item x="89"/>
        <item x="2"/>
        <item x="24"/>
        <item x="143"/>
        <item x="101"/>
        <item x="163"/>
        <item x="49"/>
        <item x="41"/>
        <item x="114"/>
        <item x="31"/>
        <item x="133"/>
        <item x="37"/>
        <item x="121"/>
        <item x="60"/>
        <item x="74"/>
        <item x="40"/>
        <item x="118"/>
        <item x="90"/>
        <item x="50"/>
        <item x="162"/>
        <item x="142"/>
        <item x="157"/>
        <item x="51"/>
        <item x="129"/>
        <item x="138"/>
        <item x="99"/>
        <item x="70"/>
        <item x="4"/>
        <item x="18"/>
        <item x="126"/>
        <item x="160"/>
        <item x="122"/>
        <item x="107"/>
        <item x="14"/>
        <item x="0"/>
        <item x="72"/>
        <item x="153"/>
        <item x="64"/>
        <item x="44"/>
        <item x="140"/>
        <item x="27"/>
        <item x="6"/>
        <item x="141"/>
        <item x="38"/>
        <item x="36"/>
        <item x="71"/>
        <item x="53"/>
        <item x="63"/>
        <item x="35"/>
        <item x="137"/>
        <item x="166"/>
        <item x="23"/>
        <item x="29"/>
        <item x="12"/>
        <item x="150"/>
        <item x="57"/>
        <item x="45"/>
        <item x="33"/>
        <item x="146"/>
        <item x="61"/>
        <item x="62"/>
        <item x="103"/>
        <item x="135"/>
        <item x="75"/>
        <item x="66"/>
        <item x="81"/>
        <item x="56"/>
        <item x="67"/>
        <item x="127"/>
        <item x="7"/>
        <item x="161"/>
        <item x="117"/>
        <item x="128"/>
        <item x="93"/>
        <item x="145"/>
        <item x="92"/>
        <item x="106"/>
        <item x="168"/>
        <item x="8"/>
        <item x="134"/>
        <item x="32"/>
        <item x="68"/>
        <item x="131"/>
        <item x="58"/>
        <item x="144"/>
        <item x="25"/>
        <item x="156"/>
        <item x="125"/>
        <item x="65"/>
        <item x="149"/>
        <item x="11"/>
        <item x="52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4"/>
  </rowFields>
  <rowItems count="7">
    <i>
      <x v="1"/>
    </i>
    <i>
      <x v="2"/>
    </i>
    <i>
      <x v="3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z Bodnarka" fld="1" baseField="0" baseItem="0"/>
    <dataField name="Suma z Czarny Diament" fld="2" baseField="0" baseItem="0"/>
    <dataField name="Suma z Skarb Slaska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7498-1978-4388-89CD-215179D6BE9C}">
  <dimension ref="A1:D183"/>
  <sheetViews>
    <sheetView workbookViewId="0"/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</cols>
  <sheetData>
    <row r="1" spans="1:4" x14ac:dyDescent="0.25">
      <c r="A1" t="s">
        <v>3</v>
      </c>
      <c r="B1" s="4" t="s">
        <v>0</v>
      </c>
      <c r="C1" s="5" t="s">
        <v>1</v>
      </c>
      <c r="D1" s="6" t="s">
        <v>2</v>
      </c>
    </row>
    <row r="2" spans="1:4" x14ac:dyDescent="0.25">
      <c r="A2" s="13">
        <v>45931</v>
      </c>
      <c r="B2" s="7">
        <v>3486</v>
      </c>
      <c r="C2" s="8">
        <v>3232</v>
      </c>
      <c r="D2" s="9">
        <v>4197</v>
      </c>
    </row>
    <row r="3" spans="1:4" x14ac:dyDescent="0.25">
      <c r="A3" s="13">
        <v>45932</v>
      </c>
      <c r="B3" s="10">
        <v>4960</v>
      </c>
      <c r="C3" s="11">
        <v>2504</v>
      </c>
      <c r="D3" s="12">
        <v>3583</v>
      </c>
    </row>
    <row r="4" spans="1:4" x14ac:dyDescent="0.25">
      <c r="A4" s="13">
        <v>45933</v>
      </c>
      <c r="B4" s="7">
        <v>3662</v>
      </c>
      <c r="C4" s="8">
        <v>4613</v>
      </c>
      <c r="D4" s="9">
        <v>3929</v>
      </c>
    </row>
    <row r="5" spans="1:4" x14ac:dyDescent="0.25">
      <c r="A5" s="13">
        <v>45934</v>
      </c>
      <c r="B5" s="10">
        <v>4123</v>
      </c>
      <c r="C5" s="11">
        <v>4186</v>
      </c>
      <c r="D5" s="12">
        <v>3527</v>
      </c>
    </row>
    <row r="6" spans="1:4" x14ac:dyDescent="0.25">
      <c r="A6" s="13">
        <v>45935</v>
      </c>
      <c r="B6" s="7">
        <v>4729</v>
      </c>
      <c r="C6" s="8">
        <v>3850</v>
      </c>
      <c r="D6" s="9">
        <v>4169</v>
      </c>
    </row>
    <row r="7" spans="1:4" x14ac:dyDescent="0.25">
      <c r="A7" s="13">
        <v>45936</v>
      </c>
      <c r="B7" s="10">
        <v>4219</v>
      </c>
      <c r="C7" s="11">
        <v>4006</v>
      </c>
      <c r="D7" s="12">
        <v>3604</v>
      </c>
    </row>
    <row r="8" spans="1:4" x14ac:dyDescent="0.25">
      <c r="A8" s="13">
        <v>45937</v>
      </c>
      <c r="B8" s="7">
        <v>4159</v>
      </c>
      <c r="C8" s="8">
        <v>4617</v>
      </c>
      <c r="D8" s="9">
        <v>4245</v>
      </c>
    </row>
    <row r="9" spans="1:4" x14ac:dyDescent="0.25">
      <c r="A9" s="13">
        <v>45938</v>
      </c>
      <c r="B9" s="10">
        <v>4831</v>
      </c>
      <c r="C9" s="11">
        <v>2933</v>
      </c>
      <c r="D9" s="12">
        <v>4396</v>
      </c>
    </row>
    <row r="10" spans="1:4" x14ac:dyDescent="0.25">
      <c r="A10" s="13">
        <v>45939</v>
      </c>
      <c r="B10" s="7">
        <v>3679</v>
      </c>
      <c r="C10" s="8">
        <v>4671</v>
      </c>
      <c r="D10" s="9">
        <v>4429</v>
      </c>
    </row>
    <row r="11" spans="1:4" x14ac:dyDescent="0.25">
      <c r="A11" s="13">
        <v>45940</v>
      </c>
      <c r="B11" s="10">
        <v>4005</v>
      </c>
      <c r="C11" s="11">
        <v>4305</v>
      </c>
      <c r="D11" s="12">
        <v>3752</v>
      </c>
    </row>
    <row r="12" spans="1:4" x14ac:dyDescent="0.25">
      <c r="A12" s="13">
        <v>45941</v>
      </c>
      <c r="B12" s="7">
        <v>3943</v>
      </c>
      <c r="C12" s="8">
        <v>3667</v>
      </c>
      <c r="D12" s="9">
        <v>3663</v>
      </c>
    </row>
    <row r="13" spans="1:4" x14ac:dyDescent="0.25">
      <c r="A13" s="13">
        <v>45942</v>
      </c>
      <c r="B13" s="10">
        <v>3904</v>
      </c>
      <c r="C13" s="11">
        <v>3432</v>
      </c>
      <c r="D13" s="12">
        <v>4493</v>
      </c>
    </row>
    <row r="14" spans="1:4" x14ac:dyDescent="0.25">
      <c r="A14" s="13">
        <v>45943</v>
      </c>
      <c r="B14" s="7">
        <v>4521</v>
      </c>
      <c r="C14" s="8">
        <v>3098</v>
      </c>
      <c r="D14" s="9">
        <v>4316</v>
      </c>
    </row>
    <row r="15" spans="1:4" x14ac:dyDescent="0.25">
      <c r="A15" s="13">
        <v>45944</v>
      </c>
      <c r="B15" s="10">
        <v>3388</v>
      </c>
      <c r="C15" s="11">
        <v>4492</v>
      </c>
      <c r="D15" s="12">
        <v>3501</v>
      </c>
    </row>
    <row r="16" spans="1:4" x14ac:dyDescent="0.25">
      <c r="A16" s="13">
        <v>45945</v>
      </c>
      <c r="B16" s="7">
        <v>4550</v>
      </c>
      <c r="C16" s="8">
        <v>3393</v>
      </c>
      <c r="D16" s="9">
        <v>4195</v>
      </c>
    </row>
    <row r="17" spans="1:4" x14ac:dyDescent="0.25">
      <c r="A17" s="13">
        <v>45946</v>
      </c>
      <c r="B17" s="10">
        <v>3471</v>
      </c>
      <c r="C17" s="11">
        <v>2930</v>
      </c>
      <c r="D17" s="12">
        <v>3843</v>
      </c>
    </row>
    <row r="18" spans="1:4" x14ac:dyDescent="0.25">
      <c r="A18" s="13">
        <v>45947</v>
      </c>
      <c r="B18" s="7">
        <v>3774</v>
      </c>
      <c r="C18" s="8">
        <v>3220</v>
      </c>
      <c r="D18" s="9">
        <v>3684</v>
      </c>
    </row>
    <row r="19" spans="1:4" x14ac:dyDescent="0.25">
      <c r="A19" s="13">
        <v>45948</v>
      </c>
      <c r="B19" s="10">
        <v>4296</v>
      </c>
      <c r="C19" s="11">
        <v>3366</v>
      </c>
      <c r="D19" s="12">
        <v>3726</v>
      </c>
    </row>
    <row r="20" spans="1:4" x14ac:dyDescent="0.25">
      <c r="A20" s="13">
        <v>45949</v>
      </c>
      <c r="B20" s="7">
        <v>4491</v>
      </c>
      <c r="C20" s="8">
        <v>3368</v>
      </c>
      <c r="D20" s="9">
        <v>4178</v>
      </c>
    </row>
    <row r="21" spans="1:4" x14ac:dyDescent="0.25">
      <c r="A21" s="13">
        <v>45950</v>
      </c>
      <c r="B21" s="10">
        <v>3951</v>
      </c>
      <c r="C21" s="11">
        <v>3372</v>
      </c>
      <c r="D21" s="12">
        <v>3891</v>
      </c>
    </row>
    <row r="22" spans="1:4" x14ac:dyDescent="0.25">
      <c r="A22" s="13">
        <v>45951</v>
      </c>
      <c r="B22" s="7">
        <v>4491</v>
      </c>
      <c r="C22" s="8">
        <v>3752</v>
      </c>
      <c r="D22" s="9">
        <v>3860</v>
      </c>
    </row>
    <row r="23" spans="1:4" x14ac:dyDescent="0.25">
      <c r="A23" s="13">
        <v>45952</v>
      </c>
      <c r="B23" s="10">
        <v>3653</v>
      </c>
      <c r="C23" s="11">
        <v>4480</v>
      </c>
      <c r="D23" s="12">
        <v>3510</v>
      </c>
    </row>
    <row r="24" spans="1:4" x14ac:dyDescent="0.25">
      <c r="A24" s="13">
        <v>45953</v>
      </c>
      <c r="B24" s="7">
        <v>3848</v>
      </c>
      <c r="C24" s="8">
        <v>4019</v>
      </c>
      <c r="D24" s="9">
        <v>3715</v>
      </c>
    </row>
    <row r="25" spans="1:4" x14ac:dyDescent="0.25">
      <c r="A25" s="13">
        <v>45954</v>
      </c>
      <c r="B25" s="10">
        <v>3915</v>
      </c>
      <c r="C25" s="11">
        <v>4415</v>
      </c>
      <c r="D25" s="12">
        <v>4302</v>
      </c>
    </row>
    <row r="26" spans="1:4" x14ac:dyDescent="0.25">
      <c r="A26" s="13">
        <v>45955</v>
      </c>
      <c r="B26" s="7">
        <v>3876</v>
      </c>
      <c r="C26" s="8">
        <v>4802</v>
      </c>
      <c r="D26" s="9">
        <v>3939</v>
      </c>
    </row>
    <row r="27" spans="1:4" x14ac:dyDescent="0.25">
      <c r="A27" s="13">
        <v>45956</v>
      </c>
      <c r="B27" s="10">
        <v>4335</v>
      </c>
      <c r="C27" s="11">
        <v>2508</v>
      </c>
      <c r="D27" s="12">
        <v>4460</v>
      </c>
    </row>
    <row r="28" spans="1:4" x14ac:dyDescent="0.25">
      <c r="A28" s="13">
        <v>45957</v>
      </c>
      <c r="B28" s="7">
        <v>3418</v>
      </c>
      <c r="C28" s="8">
        <v>3594</v>
      </c>
      <c r="D28" s="9">
        <v>3846</v>
      </c>
    </row>
    <row r="29" spans="1:4" x14ac:dyDescent="0.25">
      <c r="A29" s="13">
        <v>45958</v>
      </c>
      <c r="B29" s="10">
        <v>3230</v>
      </c>
      <c r="C29" s="11">
        <v>2774</v>
      </c>
      <c r="D29" s="12">
        <v>4242</v>
      </c>
    </row>
    <row r="30" spans="1:4" x14ac:dyDescent="0.25">
      <c r="A30" s="13">
        <v>45959</v>
      </c>
      <c r="B30" s="7">
        <v>3066</v>
      </c>
      <c r="C30" s="8">
        <v>3374</v>
      </c>
      <c r="D30" s="9">
        <v>3664</v>
      </c>
    </row>
    <row r="31" spans="1:4" x14ac:dyDescent="0.25">
      <c r="A31" s="13">
        <v>45960</v>
      </c>
      <c r="B31" s="10">
        <v>4823</v>
      </c>
      <c r="C31" s="11">
        <v>4830</v>
      </c>
      <c r="D31" s="12">
        <v>4315</v>
      </c>
    </row>
    <row r="32" spans="1:4" x14ac:dyDescent="0.25">
      <c r="A32" s="13">
        <v>45961</v>
      </c>
      <c r="B32" s="7">
        <v>3533</v>
      </c>
      <c r="C32" s="8">
        <v>2866</v>
      </c>
      <c r="D32" s="9">
        <v>3680</v>
      </c>
    </row>
    <row r="33" spans="1:4" x14ac:dyDescent="0.25">
      <c r="A33" s="13">
        <v>45962</v>
      </c>
      <c r="B33" s="10">
        <v>4965</v>
      </c>
      <c r="C33" s="11">
        <v>4199</v>
      </c>
      <c r="D33" s="12">
        <v>4055</v>
      </c>
    </row>
    <row r="34" spans="1:4" x14ac:dyDescent="0.25">
      <c r="A34" s="13">
        <v>45963</v>
      </c>
      <c r="B34" s="7">
        <v>4813</v>
      </c>
      <c r="C34" s="8">
        <v>4912</v>
      </c>
      <c r="D34" s="9">
        <v>4436</v>
      </c>
    </row>
    <row r="35" spans="1:4" x14ac:dyDescent="0.25">
      <c r="A35" s="13">
        <v>45964</v>
      </c>
      <c r="B35" s="10">
        <v>3837</v>
      </c>
      <c r="C35" s="11">
        <v>2720</v>
      </c>
      <c r="D35" s="12">
        <v>4330</v>
      </c>
    </row>
    <row r="36" spans="1:4" x14ac:dyDescent="0.25">
      <c r="A36" s="13">
        <v>45965</v>
      </c>
      <c r="B36" s="7">
        <v>3948</v>
      </c>
      <c r="C36" s="8">
        <v>3545</v>
      </c>
      <c r="D36" s="9">
        <v>3655</v>
      </c>
    </row>
    <row r="37" spans="1:4" x14ac:dyDescent="0.25">
      <c r="A37" s="13">
        <v>45966</v>
      </c>
      <c r="B37" s="10">
        <v>3918</v>
      </c>
      <c r="C37" s="11">
        <v>4830</v>
      </c>
      <c r="D37" s="12">
        <v>4285</v>
      </c>
    </row>
    <row r="38" spans="1:4" x14ac:dyDescent="0.25">
      <c r="A38" s="13">
        <v>45967</v>
      </c>
      <c r="B38" s="7">
        <v>3301</v>
      </c>
      <c r="C38" s="8">
        <v>3785</v>
      </c>
      <c r="D38" s="9">
        <v>4272</v>
      </c>
    </row>
    <row r="39" spans="1:4" x14ac:dyDescent="0.25">
      <c r="A39" s="13">
        <v>45968</v>
      </c>
      <c r="B39" s="10">
        <v>3310</v>
      </c>
      <c r="C39" s="11">
        <v>2716</v>
      </c>
      <c r="D39" s="12">
        <v>4059</v>
      </c>
    </row>
    <row r="40" spans="1:4" x14ac:dyDescent="0.25">
      <c r="A40" s="13">
        <v>45969</v>
      </c>
      <c r="B40" s="7">
        <v>4177</v>
      </c>
      <c r="C40" s="8">
        <v>3087</v>
      </c>
      <c r="D40" s="9">
        <v>4270</v>
      </c>
    </row>
    <row r="41" spans="1:4" x14ac:dyDescent="0.25">
      <c r="A41" s="13">
        <v>45970</v>
      </c>
      <c r="B41" s="10">
        <v>3646</v>
      </c>
      <c r="C41" s="11">
        <v>4622</v>
      </c>
      <c r="D41" s="12">
        <v>3905</v>
      </c>
    </row>
    <row r="42" spans="1:4" x14ac:dyDescent="0.25">
      <c r="A42" s="13">
        <v>45971</v>
      </c>
      <c r="B42" s="7">
        <v>3603</v>
      </c>
      <c r="C42" s="8">
        <v>4985</v>
      </c>
      <c r="D42" s="9">
        <v>4082</v>
      </c>
    </row>
    <row r="43" spans="1:4" x14ac:dyDescent="0.25">
      <c r="A43" s="13">
        <v>45972</v>
      </c>
      <c r="B43" s="10">
        <v>4500</v>
      </c>
      <c r="C43" s="11">
        <v>4658</v>
      </c>
      <c r="D43" s="12">
        <v>3583</v>
      </c>
    </row>
    <row r="44" spans="1:4" x14ac:dyDescent="0.25">
      <c r="A44" s="13">
        <v>45973</v>
      </c>
      <c r="B44" s="7">
        <v>4642</v>
      </c>
      <c r="C44" s="8">
        <v>3721</v>
      </c>
      <c r="D44" s="9">
        <v>4045</v>
      </c>
    </row>
    <row r="45" spans="1:4" x14ac:dyDescent="0.25">
      <c r="A45" s="13">
        <v>45974</v>
      </c>
      <c r="B45" s="10">
        <v>4280</v>
      </c>
      <c r="C45" s="11">
        <v>2622</v>
      </c>
      <c r="D45" s="12">
        <v>3630</v>
      </c>
    </row>
    <row r="46" spans="1:4" x14ac:dyDescent="0.25">
      <c r="A46" s="13">
        <v>45975</v>
      </c>
      <c r="B46" s="7">
        <v>3307</v>
      </c>
      <c r="C46" s="8">
        <v>4450</v>
      </c>
      <c r="D46" s="9">
        <v>3551</v>
      </c>
    </row>
    <row r="47" spans="1:4" x14ac:dyDescent="0.25">
      <c r="A47" s="13">
        <v>45976</v>
      </c>
      <c r="B47" s="10">
        <v>3132</v>
      </c>
      <c r="C47" s="11">
        <v>3118</v>
      </c>
      <c r="D47" s="12">
        <v>4231</v>
      </c>
    </row>
    <row r="48" spans="1:4" x14ac:dyDescent="0.25">
      <c r="A48" s="13">
        <v>45977</v>
      </c>
      <c r="B48" s="7">
        <v>3438</v>
      </c>
      <c r="C48" s="8">
        <v>2559</v>
      </c>
      <c r="D48" s="9">
        <v>4323</v>
      </c>
    </row>
    <row r="49" spans="1:4" x14ac:dyDescent="0.25">
      <c r="A49" s="13">
        <v>45978</v>
      </c>
      <c r="B49" s="10">
        <v>4209</v>
      </c>
      <c r="C49" s="11">
        <v>4094</v>
      </c>
      <c r="D49" s="12">
        <v>3533</v>
      </c>
    </row>
    <row r="50" spans="1:4" x14ac:dyDescent="0.25">
      <c r="A50" s="13">
        <v>45979</v>
      </c>
      <c r="B50" s="7">
        <v>3469</v>
      </c>
      <c r="C50" s="8">
        <v>3582</v>
      </c>
      <c r="D50" s="9">
        <v>3578</v>
      </c>
    </row>
    <row r="51" spans="1:4" x14ac:dyDescent="0.25">
      <c r="A51" s="13">
        <v>45980</v>
      </c>
      <c r="B51" s="10">
        <v>3964</v>
      </c>
      <c r="C51" s="11">
        <v>4282</v>
      </c>
      <c r="D51" s="12">
        <v>3642</v>
      </c>
    </row>
    <row r="52" spans="1:4" x14ac:dyDescent="0.25">
      <c r="A52" s="13">
        <v>45981</v>
      </c>
      <c r="B52" s="7">
        <v>3464</v>
      </c>
      <c r="C52" s="8">
        <v>3816</v>
      </c>
      <c r="D52" s="9">
        <v>4038</v>
      </c>
    </row>
    <row r="53" spans="1:4" x14ac:dyDescent="0.25">
      <c r="A53" s="13">
        <v>45982</v>
      </c>
      <c r="B53" s="10">
        <v>4762</v>
      </c>
      <c r="C53" s="11">
        <v>3842</v>
      </c>
      <c r="D53" s="12">
        <v>4097</v>
      </c>
    </row>
    <row r="54" spans="1:4" x14ac:dyDescent="0.25">
      <c r="A54" s="13">
        <v>45983</v>
      </c>
      <c r="B54" s="7">
        <v>3239</v>
      </c>
      <c r="C54" s="8">
        <v>3124</v>
      </c>
      <c r="D54" s="9">
        <v>4114</v>
      </c>
    </row>
    <row r="55" spans="1:4" x14ac:dyDescent="0.25">
      <c r="A55" s="13">
        <v>45984</v>
      </c>
      <c r="B55" s="10">
        <v>4722</v>
      </c>
      <c r="C55" s="11">
        <v>4675</v>
      </c>
      <c r="D55" s="12">
        <v>4499</v>
      </c>
    </row>
    <row r="56" spans="1:4" x14ac:dyDescent="0.25">
      <c r="A56" s="13">
        <v>45985</v>
      </c>
      <c r="B56" s="7">
        <v>4398</v>
      </c>
      <c r="C56" s="8">
        <v>3072</v>
      </c>
      <c r="D56" s="9">
        <v>4282</v>
      </c>
    </row>
    <row r="57" spans="1:4" x14ac:dyDescent="0.25">
      <c r="A57" s="13">
        <v>45986</v>
      </c>
      <c r="B57" s="10">
        <v>3950</v>
      </c>
      <c r="C57" s="11">
        <v>3684</v>
      </c>
      <c r="D57" s="12">
        <v>3825</v>
      </c>
    </row>
    <row r="58" spans="1:4" x14ac:dyDescent="0.25">
      <c r="A58" s="13">
        <v>45987</v>
      </c>
      <c r="B58" s="7">
        <v>3089</v>
      </c>
      <c r="C58" s="8">
        <v>3898</v>
      </c>
      <c r="D58" s="9">
        <v>3737</v>
      </c>
    </row>
    <row r="59" spans="1:4" x14ac:dyDescent="0.25">
      <c r="A59" s="13">
        <v>45988</v>
      </c>
      <c r="B59" s="10">
        <v>4408</v>
      </c>
      <c r="C59" s="11">
        <v>2923</v>
      </c>
      <c r="D59" s="12">
        <v>4377</v>
      </c>
    </row>
    <row r="60" spans="1:4" x14ac:dyDescent="0.25">
      <c r="A60" s="13">
        <v>45989</v>
      </c>
      <c r="B60" s="7">
        <v>3732</v>
      </c>
      <c r="C60" s="8">
        <v>2542</v>
      </c>
      <c r="D60" s="9">
        <v>4322</v>
      </c>
    </row>
    <row r="61" spans="1:4" x14ac:dyDescent="0.25">
      <c r="A61" s="13">
        <v>45990</v>
      </c>
      <c r="B61" s="10">
        <v>4706</v>
      </c>
      <c r="C61" s="11">
        <v>3760</v>
      </c>
      <c r="D61" s="12">
        <v>4447</v>
      </c>
    </row>
    <row r="62" spans="1:4" x14ac:dyDescent="0.25">
      <c r="A62" s="13">
        <v>45991</v>
      </c>
      <c r="B62" s="7">
        <v>3905</v>
      </c>
      <c r="C62" s="8">
        <v>4048</v>
      </c>
      <c r="D62" s="9">
        <v>3656</v>
      </c>
    </row>
    <row r="63" spans="1:4" x14ac:dyDescent="0.25">
      <c r="A63" s="13">
        <v>45992</v>
      </c>
      <c r="B63" s="10">
        <v>4369</v>
      </c>
      <c r="C63" s="11">
        <v>4468</v>
      </c>
      <c r="D63" s="12">
        <v>3578</v>
      </c>
    </row>
    <row r="64" spans="1:4" x14ac:dyDescent="0.25">
      <c r="A64" s="13">
        <v>45993</v>
      </c>
      <c r="B64" s="7">
        <v>4186</v>
      </c>
      <c r="C64" s="8">
        <v>3808</v>
      </c>
      <c r="D64" s="9">
        <v>4065</v>
      </c>
    </row>
    <row r="65" spans="1:4" x14ac:dyDescent="0.25">
      <c r="A65" s="13">
        <v>45994</v>
      </c>
      <c r="B65" s="10">
        <v>3780</v>
      </c>
      <c r="C65" s="11">
        <v>3894</v>
      </c>
      <c r="D65" s="12">
        <v>4341</v>
      </c>
    </row>
    <row r="66" spans="1:4" x14ac:dyDescent="0.25">
      <c r="A66" s="13">
        <v>45995</v>
      </c>
      <c r="B66" s="7">
        <v>3859</v>
      </c>
      <c r="C66" s="8">
        <v>3335</v>
      </c>
      <c r="D66" s="9">
        <v>4343</v>
      </c>
    </row>
    <row r="67" spans="1:4" x14ac:dyDescent="0.25">
      <c r="A67" s="13">
        <v>45996</v>
      </c>
      <c r="B67" s="10">
        <v>4842</v>
      </c>
      <c r="C67" s="11">
        <v>4325</v>
      </c>
      <c r="D67" s="12">
        <v>4284</v>
      </c>
    </row>
    <row r="68" spans="1:4" x14ac:dyDescent="0.25">
      <c r="A68" s="13">
        <v>45997</v>
      </c>
      <c r="B68" s="7">
        <v>4461</v>
      </c>
      <c r="C68" s="8">
        <v>3535</v>
      </c>
      <c r="D68" s="9">
        <v>4224</v>
      </c>
    </row>
    <row r="69" spans="1:4" x14ac:dyDescent="0.25">
      <c r="A69" s="13">
        <v>45998</v>
      </c>
      <c r="B69" s="10">
        <v>3676</v>
      </c>
      <c r="C69" s="11">
        <v>3549</v>
      </c>
      <c r="D69" s="12">
        <v>4469</v>
      </c>
    </row>
    <row r="70" spans="1:4" x14ac:dyDescent="0.25">
      <c r="A70" s="13">
        <v>45999</v>
      </c>
      <c r="B70" s="7">
        <v>4173</v>
      </c>
      <c r="C70" s="8">
        <v>3281</v>
      </c>
      <c r="D70" s="9">
        <v>4365</v>
      </c>
    </row>
    <row r="71" spans="1:4" x14ac:dyDescent="0.25">
      <c r="A71" s="13">
        <v>46000</v>
      </c>
      <c r="B71" s="10">
        <v>3982</v>
      </c>
      <c r="C71" s="11">
        <v>3500</v>
      </c>
      <c r="D71" s="12">
        <v>4379</v>
      </c>
    </row>
    <row r="72" spans="1:4" x14ac:dyDescent="0.25">
      <c r="A72" s="13">
        <v>46001</v>
      </c>
      <c r="B72" s="7">
        <v>4507</v>
      </c>
      <c r="C72" s="8">
        <v>4263</v>
      </c>
      <c r="D72" s="9">
        <v>4439</v>
      </c>
    </row>
    <row r="73" spans="1:4" x14ac:dyDescent="0.25">
      <c r="A73" s="13">
        <v>46002</v>
      </c>
      <c r="B73" s="10">
        <v>3574</v>
      </c>
      <c r="C73" s="11">
        <v>2503</v>
      </c>
      <c r="D73" s="12">
        <v>3886</v>
      </c>
    </row>
    <row r="74" spans="1:4" x14ac:dyDescent="0.25">
      <c r="A74" s="13">
        <v>46003</v>
      </c>
      <c r="B74" s="7">
        <v>3514</v>
      </c>
      <c r="C74" s="8">
        <v>3589</v>
      </c>
      <c r="D74" s="9">
        <v>4163</v>
      </c>
    </row>
    <row r="75" spans="1:4" x14ac:dyDescent="0.25">
      <c r="A75" s="13">
        <v>46004</v>
      </c>
      <c r="B75" s="10">
        <v>3825</v>
      </c>
      <c r="C75" s="11">
        <v>3615</v>
      </c>
      <c r="D75" s="12">
        <v>4275</v>
      </c>
    </row>
    <row r="76" spans="1:4" x14ac:dyDescent="0.25">
      <c r="A76" s="13">
        <v>46005</v>
      </c>
      <c r="B76" s="7">
        <v>3839</v>
      </c>
      <c r="C76" s="8">
        <v>3962</v>
      </c>
      <c r="D76" s="9">
        <v>4207</v>
      </c>
    </row>
    <row r="77" spans="1:4" x14ac:dyDescent="0.25">
      <c r="A77" s="13">
        <v>46006</v>
      </c>
      <c r="B77" s="10">
        <v>4686</v>
      </c>
      <c r="C77" s="11">
        <v>2918</v>
      </c>
      <c r="D77" s="12">
        <v>3885</v>
      </c>
    </row>
    <row r="78" spans="1:4" x14ac:dyDescent="0.25">
      <c r="A78" s="13">
        <v>46007</v>
      </c>
      <c r="B78" s="7">
        <v>3155</v>
      </c>
      <c r="C78" s="8">
        <v>4732</v>
      </c>
      <c r="D78" s="9">
        <v>4066</v>
      </c>
    </row>
    <row r="79" spans="1:4" x14ac:dyDescent="0.25">
      <c r="A79" s="13">
        <v>46008</v>
      </c>
      <c r="B79" s="10">
        <v>3375</v>
      </c>
      <c r="C79" s="11">
        <v>3272</v>
      </c>
      <c r="D79" s="12">
        <v>4355</v>
      </c>
    </row>
    <row r="80" spans="1:4" x14ac:dyDescent="0.25">
      <c r="A80" s="13">
        <v>46009</v>
      </c>
      <c r="B80" s="7">
        <v>4396</v>
      </c>
      <c r="C80" s="8">
        <v>2882</v>
      </c>
      <c r="D80" s="9">
        <v>3646</v>
      </c>
    </row>
    <row r="81" spans="1:4" x14ac:dyDescent="0.25">
      <c r="A81" s="13">
        <v>46010</v>
      </c>
      <c r="B81" s="10">
        <v>4371</v>
      </c>
      <c r="C81" s="11">
        <v>3799</v>
      </c>
      <c r="D81" s="12">
        <v>3529</v>
      </c>
    </row>
    <row r="82" spans="1:4" x14ac:dyDescent="0.25">
      <c r="A82" s="13">
        <v>46011</v>
      </c>
      <c r="B82" s="7">
        <v>3493</v>
      </c>
      <c r="C82" s="8">
        <v>4308</v>
      </c>
      <c r="D82" s="9">
        <v>3677</v>
      </c>
    </row>
    <row r="83" spans="1:4" x14ac:dyDescent="0.25">
      <c r="A83" s="13">
        <v>46012</v>
      </c>
      <c r="B83" s="10">
        <v>3809</v>
      </c>
      <c r="C83" s="11">
        <v>4305</v>
      </c>
      <c r="D83" s="12">
        <v>3855</v>
      </c>
    </row>
    <row r="84" spans="1:4" x14ac:dyDescent="0.25">
      <c r="A84" s="13">
        <v>46013</v>
      </c>
      <c r="B84" s="7">
        <v>3783</v>
      </c>
      <c r="C84" s="8">
        <v>3070</v>
      </c>
      <c r="D84" s="9">
        <v>3906</v>
      </c>
    </row>
    <row r="85" spans="1:4" x14ac:dyDescent="0.25">
      <c r="A85" s="13">
        <v>46014</v>
      </c>
      <c r="B85" s="10">
        <v>3651</v>
      </c>
      <c r="C85" s="11">
        <v>3648</v>
      </c>
      <c r="D85" s="12">
        <v>4369</v>
      </c>
    </row>
    <row r="86" spans="1:4" x14ac:dyDescent="0.25">
      <c r="A86" s="13">
        <v>46015</v>
      </c>
      <c r="B86" s="7">
        <v>4785</v>
      </c>
      <c r="C86" s="8">
        <v>3608</v>
      </c>
      <c r="D86" s="9">
        <v>3660</v>
      </c>
    </row>
    <row r="87" spans="1:4" x14ac:dyDescent="0.25">
      <c r="A87" s="13">
        <v>46016</v>
      </c>
      <c r="B87" s="10">
        <v>4756</v>
      </c>
      <c r="C87" s="11">
        <v>2907</v>
      </c>
      <c r="D87" s="12">
        <v>3579</v>
      </c>
    </row>
    <row r="88" spans="1:4" x14ac:dyDescent="0.25">
      <c r="A88" s="13">
        <v>46017</v>
      </c>
      <c r="B88" s="7">
        <v>3615</v>
      </c>
      <c r="C88" s="8">
        <v>3854</v>
      </c>
      <c r="D88" s="9">
        <v>3713</v>
      </c>
    </row>
    <row r="89" spans="1:4" x14ac:dyDescent="0.25">
      <c r="A89" s="13">
        <v>46018</v>
      </c>
      <c r="B89" s="10">
        <v>4570</v>
      </c>
      <c r="C89" s="11">
        <v>2857</v>
      </c>
      <c r="D89" s="12">
        <v>3821</v>
      </c>
    </row>
    <row r="90" spans="1:4" x14ac:dyDescent="0.25">
      <c r="A90" s="13">
        <v>46019</v>
      </c>
      <c r="B90" s="7">
        <v>3598</v>
      </c>
      <c r="C90" s="8">
        <v>3805</v>
      </c>
      <c r="D90" s="9">
        <v>3769</v>
      </c>
    </row>
    <row r="91" spans="1:4" x14ac:dyDescent="0.25">
      <c r="A91" s="13">
        <v>46020</v>
      </c>
      <c r="B91" s="10">
        <v>4365</v>
      </c>
      <c r="C91" s="11">
        <v>3553</v>
      </c>
      <c r="D91" s="12">
        <v>3861</v>
      </c>
    </row>
    <row r="92" spans="1:4" x14ac:dyDescent="0.25">
      <c r="A92" s="13">
        <v>46021</v>
      </c>
      <c r="B92" s="7">
        <v>4998</v>
      </c>
      <c r="C92" s="8">
        <v>3365</v>
      </c>
      <c r="D92" s="9">
        <v>3839</v>
      </c>
    </row>
    <row r="93" spans="1:4" x14ac:dyDescent="0.25">
      <c r="A93" s="13">
        <v>46022</v>
      </c>
      <c r="B93" s="10">
        <v>3824</v>
      </c>
      <c r="C93" s="11">
        <v>3612</v>
      </c>
      <c r="D93" s="12">
        <v>3928</v>
      </c>
    </row>
    <row r="94" spans="1:4" x14ac:dyDescent="0.25">
      <c r="A94" s="13">
        <v>46023</v>
      </c>
      <c r="B94" s="7">
        <v>3168</v>
      </c>
      <c r="C94" s="8">
        <v>4708</v>
      </c>
      <c r="D94" s="9">
        <v>4087</v>
      </c>
    </row>
    <row r="95" spans="1:4" x14ac:dyDescent="0.25">
      <c r="A95" s="13">
        <v>46024</v>
      </c>
      <c r="B95" s="10">
        <v>4042</v>
      </c>
      <c r="C95" s="11">
        <v>4551</v>
      </c>
      <c r="D95" s="12">
        <v>3868</v>
      </c>
    </row>
    <row r="96" spans="1:4" x14ac:dyDescent="0.25">
      <c r="A96" s="13">
        <v>46025</v>
      </c>
      <c r="B96" s="7">
        <v>4346</v>
      </c>
      <c r="C96" s="8">
        <v>4149</v>
      </c>
      <c r="D96" s="9">
        <v>3664</v>
      </c>
    </row>
    <row r="97" spans="1:4" x14ac:dyDescent="0.25">
      <c r="A97" s="13">
        <v>46026</v>
      </c>
      <c r="B97" s="10">
        <v>4903</v>
      </c>
      <c r="C97" s="11">
        <v>4370</v>
      </c>
      <c r="D97" s="12">
        <v>4421</v>
      </c>
    </row>
    <row r="98" spans="1:4" x14ac:dyDescent="0.25">
      <c r="A98" s="13">
        <v>46027</v>
      </c>
      <c r="B98" s="7">
        <v>4202</v>
      </c>
      <c r="C98" s="8">
        <v>3920</v>
      </c>
      <c r="D98" s="9">
        <v>4413</v>
      </c>
    </row>
    <row r="99" spans="1:4" x14ac:dyDescent="0.25">
      <c r="A99" s="13">
        <v>46028</v>
      </c>
      <c r="B99" s="10">
        <v>3594</v>
      </c>
      <c r="C99" s="11">
        <v>4538</v>
      </c>
      <c r="D99" s="12">
        <v>3722</v>
      </c>
    </row>
    <row r="100" spans="1:4" x14ac:dyDescent="0.25">
      <c r="A100" s="13">
        <v>46029</v>
      </c>
      <c r="B100" s="7">
        <v>4837</v>
      </c>
      <c r="C100" s="8">
        <v>3455</v>
      </c>
      <c r="D100" s="9">
        <v>3595</v>
      </c>
    </row>
    <row r="101" spans="1:4" x14ac:dyDescent="0.25">
      <c r="A101" s="13">
        <v>46030</v>
      </c>
      <c r="B101" s="10">
        <v>3528</v>
      </c>
      <c r="C101" s="11">
        <v>3524</v>
      </c>
      <c r="D101" s="12">
        <v>3768</v>
      </c>
    </row>
    <row r="102" spans="1:4" x14ac:dyDescent="0.25">
      <c r="A102" s="13">
        <v>46031</v>
      </c>
      <c r="B102" s="7">
        <v>4869</v>
      </c>
      <c r="C102" s="8">
        <v>2564</v>
      </c>
      <c r="D102" s="9">
        <v>3669</v>
      </c>
    </row>
    <row r="103" spans="1:4" x14ac:dyDescent="0.25">
      <c r="A103" s="13">
        <v>46032</v>
      </c>
      <c r="B103" s="10">
        <v>4270</v>
      </c>
      <c r="C103" s="11">
        <v>3659</v>
      </c>
      <c r="D103" s="12">
        <v>3829</v>
      </c>
    </row>
    <row r="104" spans="1:4" x14ac:dyDescent="0.25">
      <c r="A104" s="13">
        <v>46033</v>
      </c>
      <c r="B104" s="7">
        <v>4266</v>
      </c>
      <c r="C104" s="8">
        <v>3961</v>
      </c>
      <c r="D104" s="9">
        <v>4134</v>
      </c>
    </row>
    <row r="105" spans="1:4" x14ac:dyDescent="0.25">
      <c r="A105" s="13">
        <v>46034</v>
      </c>
      <c r="B105" s="10">
        <v>4714</v>
      </c>
      <c r="C105" s="11">
        <v>3735</v>
      </c>
      <c r="D105" s="12">
        <v>3609</v>
      </c>
    </row>
    <row r="106" spans="1:4" x14ac:dyDescent="0.25">
      <c r="A106" s="13">
        <v>46035</v>
      </c>
      <c r="B106" s="7">
        <v>3953</v>
      </c>
      <c r="C106" s="8">
        <v>4143</v>
      </c>
      <c r="D106" s="9">
        <v>3971</v>
      </c>
    </row>
    <row r="107" spans="1:4" x14ac:dyDescent="0.25">
      <c r="A107" s="13">
        <v>46036</v>
      </c>
      <c r="B107" s="10">
        <v>3659</v>
      </c>
      <c r="C107" s="11">
        <v>4604</v>
      </c>
      <c r="D107" s="12">
        <v>3573</v>
      </c>
    </row>
    <row r="108" spans="1:4" x14ac:dyDescent="0.25">
      <c r="A108" s="13">
        <v>46037</v>
      </c>
      <c r="B108" s="7">
        <v>3879</v>
      </c>
      <c r="C108" s="8">
        <v>4415</v>
      </c>
      <c r="D108" s="9">
        <v>4315</v>
      </c>
    </row>
    <row r="109" spans="1:4" x14ac:dyDescent="0.25">
      <c r="A109" s="13">
        <v>46038</v>
      </c>
      <c r="B109" s="10">
        <v>3914</v>
      </c>
      <c r="C109" s="11">
        <v>3409</v>
      </c>
      <c r="D109" s="12">
        <v>4351</v>
      </c>
    </row>
    <row r="110" spans="1:4" x14ac:dyDescent="0.25">
      <c r="A110" s="13">
        <v>46039</v>
      </c>
      <c r="B110" s="7">
        <v>3339</v>
      </c>
      <c r="C110" s="8">
        <v>3542</v>
      </c>
      <c r="D110" s="9">
        <v>3627</v>
      </c>
    </row>
    <row r="111" spans="1:4" x14ac:dyDescent="0.25">
      <c r="A111" s="13">
        <v>46040</v>
      </c>
      <c r="B111" s="10">
        <v>3162</v>
      </c>
      <c r="C111" s="11">
        <v>2896</v>
      </c>
      <c r="D111" s="12">
        <v>3766</v>
      </c>
    </row>
    <row r="112" spans="1:4" x14ac:dyDescent="0.25">
      <c r="A112" s="13">
        <v>46041</v>
      </c>
      <c r="B112" s="7">
        <v>3060</v>
      </c>
      <c r="C112" s="8">
        <v>4654</v>
      </c>
      <c r="D112" s="9">
        <v>4424</v>
      </c>
    </row>
    <row r="113" spans="1:4" x14ac:dyDescent="0.25">
      <c r="A113" s="13">
        <v>46042</v>
      </c>
      <c r="B113" s="10">
        <v>3030</v>
      </c>
      <c r="C113" s="11">
        <v>4743</v>
      </c>
      <c r="D113" s="12">
        <v>4186</v>
      </c>
    </row>
    <row r="114" spans="1:4" x14ac:dyDescent="0.25">
      <c r="A114" s="13">
        <v>46043</v>
      </c>
      <c r="B114" s="7">
        <v>4179</v>
      </c>
      <c r="C114" s="8">
        <v>3640</v>
      </c>
      <c r="D114" s="9">
        <v>3831</v>
      </c>
    </row>
    <row r="115" spans="1:4" x14ac:dyDescent="0.25">
      <c r="A115" s="13">
        <v>46044</v>
      </c>
      <c r="B115" s="10">
        <v>4608</v>
      </c>
      <c r="C115" s="11">
        <v>2935</v>
      </c>
      <c r="D115" s="12">
        <v>3605</v>
      </c>
    </row>
    <row r="116" spans="1:4" x14ac:dyDescent="0.25">
      <c r="A116" s="13">
        <v>46045</v>
      </c>
      <c r="B116" s="7">
        <v>3033</v>
      </c>
      <c r="C116" s="8">
        <v>3819</v>
      </c>
      <c r="D116" s="9">
        <v>3718</v>
      </c>
    </row>
    <row r="117" spans="1:4" x14ac:dyDescent="0.25">
      <c r="A117" s="13">
        <v>46046</v>
      </c>
      <c r="B117" s="10">
        <v>4026</v>
      </c>
      <c r="C117" s="11">
        <v>2995</v>
      </c>
      <c r="D117" s="12">
        <v>3879</v>
      </c>
    </row>
    <row r="118" spans="1:4" x14ac:dyDescent="0.25">
      <c r="A118" s="13">
        <v>46047</v>
      </c>
      <c r="B118" s="7">
        <v>3351</v>
      </c>
      <c r="C118" s="8">
        <v>3804</v>
      </c>
      <c r="D118" s="9">
        <v>3881</v>
      </c>
    </row>
    <row r="119" spans="1:4" x14ac:dyDescent="0.25">
      <c r="A119" s="13">
        <v>46048</v>
      </c>
      <c r="B119" s="10">
        <v>4157</v>
      </c>
      <c r="C119" s="11">
        <v>4105</v>
      </c>
      <c r="D119" s="12">
        <v>3818</v>
      </c>
    </row>
    <row r="120" spans="1:4" x14ac:dyDescent="0.25">
      <c r="A120" s="13">
        <v>46049</v>
      </c>
      <c r="B120" s="7">
        <v>3435</v>
      </c>
      <c r="C120" s="8">
        <v>4678</v>
      </c>
      <c r="D120" s="9">
        <v>4051</v>
      </c>
    </row>
    <row r="121" spans="1:4" x14ac:dyDescent="0.25">
      <c r="A121" s="13">
        <v>46050</v>
      </c>
      <c r="B121" s="10">
        <v>3210</v>
      </c>
      <c r="C121" s="11">
        <v>2845</v>
      </c>
      <c r="D121" s="12">
        <v>4169</v>
      </c>
    </row>
    <row r="122" spans="1:4" x14ac:dyDescent="0.25">
      <c r="A122" s="13">
        <v>46051</v>
      </c>
      <c r="B122" s="7">
        <v>3472</v>
      </c>
      <c r="C122" s="8">
        <v>3921</v>
      </c>
      <c r="D122" s="9">
        <v>3819</v>
      </c>
    </row>
    <row r="123" spans="1:4" x14ac:dyDescent="0.25">
      <c r="A123" s="13">
        <v>46052</v>
      </c>
      <c r="B123" s="10">
        <v>4654</v>
      </c>
      <c r="C123" s="11">
        <v>4096</v>
      </c>
      <c r="D123" s="12">
        <v>3537</v>
      </c>
    </row>
    <row r="124" spans="1:4" x14ac:dyDescent="0.25">
      <c r="A124" s="13">
        <v>46053</v>
      </c>
      <c r="B124" s="7">
        <v>4837</v>
      </c>
      <c r="C124" s="8">
        <v>3080</v>
      </c>
      <c r="D124" s="9">
        <v>4401</v>
      </c>
    </row>
    <row r="125" spans="1:4" x14ac:dyDescent="0.25">
      <c r="A125" s="13">
        <v>46054</v>
      </c>
      <c r="B125" s="10">
        <v>4533</v>
      </c>
      <c r="C125" s="11">
        <v>4971</v>
      </c>
      <c r="D125" s="12">
        <v>4085</v>
      </c>
    </row>
    <row r="126" spans="1:4" x14ac:dyDescent="0.25">
      <c r="A126" s="13">
        <v>46055</v>
      </c>
      <c r="B126" s="7">
        <v>4473</v>
      </c>
      <c r="C126" s="8">
        <v>3814</v>
      </c>
      <c r="D126" s="9">
        <v>3674</v>
      </c>
    </row>
    <row r="127" spans="1:4" x14ac:dyDescent="0.25">
      <c r="A127" s="13">
        <v>46056</v>
      </c>
      <c r="B127" s="10">
        <v>4325</v>
      </c>
      <c r="C127" s="11">
        <v>3187</v>
      </c>
      <c r="D127" s="12">
        <v>3755</v>
      </c>
    </row>
    <row r="128" spans="1:4" x14ac:dyDescent="0.25">
      <c r="A128" s="13">
        <v>46057</v>
      </c>
      <c r="B128" s="7">
        <v>4048</v>
      </c>
      <c r="C128" s="8">
        <v>2556</v>
      </c>
      <c r="D128" s="9">
        <v>4060</v>
      </c>
    </row>
    <row r="129" spans="1:4" x14ac:dyDescent="0.25">
      <c r="A129" s="13">
        <v>46058</v>
      </c>
      <c r="B129" s="10">
        <v>3142</v>
      </c>
      <c r="C129" s="11">
        <v>3697</v>
      </c>
      <c r="D129" s="12">
        <v>4184</v>
      </c>
    </row>
    <row r="130" spans="1:4" x14ac:dyDescent="0.25">
      <c r="A130" s="13">
        <v>46059</v>
      </c>
      <c r="B130" s="7">
        <v>4400</v>
      </c>
      <c r="C130" s="8">
        <v>4840</v>
      </c>
      <c r="D130" s="9">
        <v>3503</v>
      </c>
    </row>
    <row r="131" spans="1:4" x14ac:dyDescent="0.25">
      <c r="A131" s="13">
        <v>46060</v>
      </c>
      <c r="B131" s="10">
        <v>4885</v>
      </c>
      <c r="C131" s="11">
        <v>4696</v>
      </c>
      <c r="D131" s="12">
        <v>3652</v>
      </c>
    </row>
    <row r="132" spans="1:4" x14ac:dyDescent="0.25">
      <c r="A132" s="13">
        <v>46061</v>
      </c>
      <c r="B132" s="7">
        <v>4586</v>
      </c>
      <c r="C132" s="8">
        <v>4554</v>
      </c>
      <c r="D132" s="9">
        <v>4464</v>
      </c>
    </row>
    <row r="133" spans="1:4" x14ac:dyDescent="0.25">
      <c r="A133" s="13">
        <v>46062</v>
      </c>
      <c r="B133" s="10">
        <v>3679</v>
      </c>
      <c r="C133" s="11">
        <v>3979</v>
      </c>
      <c r="D133" s="12">
        <v>3768</v>
      </c>
    </row>
    <row r="134" spans="1:4" x14ac:dyDescent="0.25">
      <c r="A134" s="13">
        <v>46063</v>
      </c>
      <c r="B134" s="7">
        <v>4994</v>
      </c>
      <c r="C134" s="8">
        <v>3366</v>
      </c>
      <c r="D134" s="9">
        <v>4355</v>
      </c>
    </row>
    <row r="135" spans="1:4" x14ac:dyDescent="0.25">
      <c r="A135" s="13">
        <v>46064</v>
      </c>
      <c r="B135" s="10">
        <v>4127</v>
      </c>
      <c r="C135" s="11">
        <v>3480</v>
      </c>
      <c r="D135" s="12">
        <v>4182</v>
      </c>
    </row>
    <row r="136" spans="1:4" x14ac:dyDescent="0.25">
      <c r="A136" s="13">
        <v>46065</v>
      </c>
      <c r="B136" s="7">
        <v>3554</v>
      </c>
      <c r="C136" s="8">
        <v>4347</v>
      </c>
      <c r="D136" s="9">
        <v>4384</v>
      </c>
    </row>
    <row r="137" spans="1:4" x14ac:dyDescent="0.25">
      <c r="A137" s="13">
        <v>46066</v>
      </c>
      <c r="B137" s="10">
        <v>3048</v>
      </c>
      <c r="C137" s="11">
        <v>4199</v>
      </c>
      <c r="D137" s="12">
        <v>4406</v>
      </c>
    </row>
    <row r="138" spans="1:4" x14ac:dyDescent="0.25">
      <c r="A138" s="13">
        <v>46067</v>
      </c>
      <c r="B138" s="7">
        <v>4026</v>
      </c>
      <c r="C138" s="8">
        <v>4274</v>
      </c>
      <c r="D138" s="9">
        <v>4115</v>
      </c>
    </row>
    <row r="139" spans="1:4" x14ac:dyDescent="0.25">
      <c r="A139" s="13">
        <v>46068</v>
      </c>
      <c r="B139" s="10">
        <v>3242</v>
      </c>
      <c r="C139" s="11">
        <v>2627</v>
      </c>
      <c r="D139" s="12">
        <v>3838</v>
      </c>
    </row>
    <row r="140" spans="1:4" x14ac:dyDescent="0.25">
      <c r="A140" s="13">
        <v>46069</v>
      </c>
      <c r="B140" s="7">
        <v>3462</v>
      </c>
      <c r="C140" s="8">
        <v>4779</v>
      </c>
      <c r="D140" s="9">
        <v>4445</v>
      </c>
    </row>
    <row r="141" spans="1:4" x14ac:dyDescent="0.25">
      <c r="A141" s="13">
        <v>46070</v>
      </c>
      <c r="B141" s="10">
        <v>4609</v>
      </c>
      <c r="C141" s="11">
        <v>3559</v>
      </c>
      <c r="D141" s="12">
        <v>3892</v>
      </c>
    </row>
    <row r="142" spans="1:4" x14ac:dyDescent="0.25">
      <c r="A142" s="13">
        <v>46071</v>
      </c>
      <c r="B142" s="7">
        <v>4569</v>
      </c>
      <c r="C142" s="8">
        <v>2592</v>
      </c>
      <c r="D142" s="9">
        <v>4056</v>
      </c>
    </row>
    <row r="143" spans="1:4" x14ac:dyDescent="0.25">
      <c r="A143" s="13">
        <v>46072</v>
      </c>
      <c r="B143" s="10">
        <v>3112</v>
      </c>
      <c r="C143" s="11">
        <v>3121</v>
      </c>
      <c r="D143" s="12">
        <v>4435</v>
      </c>
    </row>
    <row r="144" spans="1:4" x14ac:dyDescent="0.25">
      <c r="A144" s="13">
        <v>46073</v>
      </c>
      <c r="B144" s="7">
        <v>3723</v>
      </c>
      <c r="C144" s="8">
        <v>4515</v>
      </c>
      <c r="D144" s="9">
        <v>4353</v>
      </c>
    </row>
    <row r="145" spans="1:4" x14ac:dyDescent="0.25">
      <c r="A145" s="13">
        <v>46074</v>
      </c>
      <c r="B145" s="10">
        <v>3787</v>
      </c>
      <c r="C145" s="11">
        <v>4484</v>
      </c>
      <c r="D145" s="12">
        <v>3867</v>
      </c>
    </row>
    <row r="146" spans="1:4" x14ac:dyDescent="0.25">
      <c r="A146" s="13">
        <v>46075</v>
      </c>
      <c r="B146" s="7">
        <v>4927</v>
      </c>
      <c r="C146" s="8">
        <v>3405</v>
      </c>
      <c r="D146" s="9">
        <v>4289</v>
      </c>
    </row>
    <row r="147" spans="1:4" x14ac:dyDescent="0.25">
      <c r="A147" s="13">
        <v>46076</v>
      </c>
      <c r="B147" s="10">
        <v>4555</v>
      </c>
      <c r="C147" s="11">
        <v>4814</v>
      </c>
      <c r="D147" s="12">
        <v>4125</v>
      </c>
    </row>
    <row r="148" spans="1:4" x14ac:dyDescent="0.25">
      <c r="A148" s="13">
        <v>46077</v>
      </c>
      <c r="B148" s="7">
        <v>4205</v>
      </c>
      <c r="C148" s="8">
        <v>4148</v>
      </c>
      <c r="D148" s="9">
        <v>3519</v>
      </c>
    </row>
    <row r="149" spans="1:4" x14ac:dyDescent="0.25">
      <c r="A149" s="13">
        <v>46078</v>
      </c>
      <c r="B149" s="10">
        <v>4770</v>
      </c>
      <c r="C149" s="11">
        <v>4280</v>
      </c>
      <c r="D149" s="12">
        <v>3718</v>
      </c>
    </row>
    <row r="150" spans="1:4" x14ac:dyDescent="0.25">
      <c r="A150" s="13">
        <v>46079</v>
      </c>
      <c r="B150" s="7">
        <v>3094</v>
      </c>
      <c r="C150" s="8">
        <v>2813</v>
      </c>
      <c r="D150" s="9">
        <v>4238</v>
      </c>
    </row>
    <row r="151" spans="1:4" x14ac:dyDescent="0.25">
      <c r="A151" s="13">
        <v>46080</v>
      </c>
      <c r="B151" s="10">
        <v>3193</v>
      </c>
      <c r="C151" s="11">
        <v>2618</v>
      </c>
      <c r="D151" s="12">
        <v>4263</v>
      </c>
    </row>
    <row r="152" spans="1:4" x14ac:dyDescent="0.25">
      <c r="A152" s="13">
        <v>46081</v>
      </c>
      <c r="B152" s="7">
        <v>4267</v>
      </c>
      <c r="C152" s="8">
        <v>2516</v>
      </c>
      <c r="D152" s="9">
        <v>4103</v>
      </c>
    </row>
    <row r="153" spans="1:4" x14ac:dyDescent="0.25">
      <c r="A153" s="13">
        <v>46082</v>
      </c>
      <c r="B153" s="10">
        <v>4436</v>
      </c>
      <c r="C153" s="11">
        <v>3240</v>
      </c>
      <c r="D153" s="12">
        <v>3966</v>
      </c>
    </row>
    <row r="154" spans="1:4" x14ac:dyDescent="0.25">
      <c r="A154" s="13">
        <v>46083</v>
      </c>
      <c r="B154" s="7">
        <v>4542</v>
      </c>
      <c r="C154" s="8">
        <v>2622</v>
      </c>
      <c r="D154" s="9">
        <v>4455</v>
      </c>
    </row>
    <row r="155" spans="1:4" x14ac:dyDescent="0.25">
      <c r="A155" s="13">
        <v>46084</v>
      </c>
      <c r="B155" s="10">
        <v>3141</v>
      </c>
      <c r="C155" s="11">
        <v>4108</v>
      </c>
      <c r="D155" s="12">
        <v>4415</v>
      </c>
    </row>
    <row r="156" spans="1:4" x14ac:dyDescent="0.25">
      <c r="A156" s="13">
        <v>46085</v>
      </c>
      <c r="B156" s="7">
        <v>4627</v>
      </c>
      <c r="C156" s="8">
        <v>2731</v>
      </c>
      <c r="D156" s="9">
        <v>4065</v>
      </c>
    </row>
    <row r="157" spans="1:4" x14ac:dyDescent="0.25">
      <c r="A157" s="13">
        <v>46086</v>
      </c>
      <c r="B157" s="10">
        <v>4379</v>
      </c>
      <c r="C157" s="11">
        <v>2834</v>
      </c>
      <c r="D157" s="12">
        <v>4338</v>
      </c>
    </row>
    <row r="158" spans="1:4" x14ac:dyDescent="0.25">
      <c r="A158" s="13">
        <v>46087</v>
      </c>
      <c r="B158" s="7">
        <v>4860</v>
      </c>
      <c r="C158" s="8">
        <v>4815</v>
      </c>
      <c r="D158" s="9">
        <v>3693</v>
      </c>
    </row>
    <row r="159" spans="1:4" x14ac:dyDescent="0.25">
      <c r="A159" s="13">
        <v>46088</v>
      </c>
      <c r="B159" s="10">
        <v>4558</v>
      </c>
      <c r="C159" s="11">
        <v>2729</v>
      </c>
      <c r="D159" s="12">
        <v>3558</v>
      </c>
    </row>
    <row r="160" spans="1:4" x14ac:dyDescent="0.25">
      <c r="A160" s="13">
        <v>46089</v>
      </c>
      <c r="B160" s="7">
        <v>4818</v>
      </c>
      <c r="C160" s="8">
        <v>4126</v>
      </c>
      <c r="D160" s="9">
        <v>4477</v>
      </c>
    </row>
    <row r="161" spans="1:4" x14ac:dyDescent="0.25">
      <c r="A161" s="13">
        <v>46090</v>
      </c>
      <c r="B161" s="10">
        <v>4873</v>
      </c>
      <c r="C161" s="11">
        <v>3127</v>
      </c>
      <c r="D161" s="12">
        <v>4321</v>
      </c>
    </row>
    <row r="162" spans="1:4" x14ac:dyDescent="0.25">
      <c r="A162" s="13">
        <v>46091</v>
      </c>
      <c r="B162" s="7">
        <v>3002</v>
      </c>
      <c r="C162" s="8">
        <v>2612</v>
      </c>
      <c r="D162" s="9">
        <v>3901</v>
      </c>
    </row>
    <row r="163" spans="1:4" x14ac:dyDescent="0.25">
      <c r="A163" s="13">
        <v>46092</v>
      </c>
      <c r="B163" s="10">
        <v>4003</v>
      </c>
      <c r="C163" s="11">
        <v>3600</v>
      </c>
      <c r="D163" s="12">
        <v>3647</v>
      </c>
    </row>
    <row r="164" spans="1:4" x14ac:dyDescent="0.25">
      <c r="A164" s="13">
        <v>46093</v>
      </c>
      <c r="B164" s="7">
        <v>3601</v>
      </c>
      <c r="C164" s="8">
        <v>3048</v>
      </c>
      <c r="D164" s="9">
        <v>4215</v>
      </c>
    </row>
    <row r="165" spans="1:4" x14ac:dyDescent="0.25">
      <c r="A165" s="13">
        <v>46094</v>
      </c>
      <c r="B165" s="10">
        <v>3733</v>
      </c>
      <c r="C165" s="11">
        <v>2847</v>
      </c>
      <c r="D165" s="12">
        <v>3617</v>
      </c>
    </row>
    <row r="166" spans="1:4" x14ac:dyDescent="0.25">
      <c r="A166" s="13">
        <v>46095</v>
      </c>
      <c r="B166" s="7">
        <v>3930</v>
      </c>
      <c r="C166" s="8">
        <v>2588</v>
      </c>
      <c r="D166" s="9">
        <v>3680</v>
      </c>
    </row>
    <row r="167" spans="1:4" x14ac:dyDescent="0.25">
      <c r="A167" s="13">
        <v>46096</v>
      </c>
      <c r="B167" s="10">
        <v>3423</v>
      </c>
      <c r="C167" s="11">
        <v>3459</v>
      </c>
      <c r="D167" s="12">
        <v>4045</v>
      </c>
    </row>
    <row r="168" spans="1:4" x14ac:dyDescent="0.25">
      <c r="A168" s="13">
        <v>46097</v>
      </c>
      <c r="B168" s="7">
        <v>4757</v>
      </c>
      <c r="C168" s="8">
        <v>4489</v>
      </c>
      <c r="D168" s="9">
        <v>3724</v>
      </c>
    </row>
    <row r="169" spans="1:4" x14ac:dyDescent="0.25">
      <c r="A169" s="13">
        <v>46098</v>
      </c>
      <c r="B169" s="10">
        <v>3712</v>
      </c>
      <c r="C169" s="11">
        <v>3899</v>
      </c>
      <c r="D169" s="12">
        <v>4461</v>
      </c>
    </row>
    <row r="170" spans="1:4" x14ac:dyDescent="0.25">
      <c r="A170" s="13">
        <v>46099</v>
      </c>
      <c r="B170" s="7">
        <v>4869</v>
      </c>
      <c r="C170" s="8">
        <v>4425</v>
      </c>
      <c r="D170" s="9">
        <v>4113</v>
      </c>
    </row>
    <row r="171" spans="1:4" x14ac:dyDescent="0.25">
      <c r="A171" s="13">
        <v>46100</v>
      </c>
      <c r="B171" s="10">
        <v>4292</v>
      </c>
      <c r="C171" s="11">
        <v>3011</v>
      </c>
      <c r="D171" s="12">
        <v>3601</v>
      </c>
    </row>
    <row r="172" spans="1:4" x14ac:dyDescent="0.25">
      <c r="A172" s="13">
        <v>46101</v>
      </c>
      <c r="B172" s="7">
        <v>3522</v>
      </c>
      <c r="C172" s="8">
        <v>2877</v>
      </c>
      <c r="D172" s="9">
        <v>3857</v>
      </c>
    </row>
    <row r="173" spans="1:4" x14ac:dyDescent="0.25">
      <c r="A173" s="13">
        <v>46102</v>
      </c>
      <c r="B173" s="10">
        <v>4008</v>
      </c>
      <c r="C173" s="11">
        <v>3368</v>
      </c>
      <c r="D173" s="12">
        <v>4183</v>
      </c>
    </row>
    <row r="174" spans="1:4" x14ac:dyDescent="0.25">
      <c r="A174" s="13">
        <v>46103</v>
      </c>
      <c r="B174" s="7">
        <v>3351</v>
      </c>
      <c r="C174" s="8">
        <v>3838</v>
      </c>
      <c r="D174" s="9">
        <v>4400</v>
      </c>
    </row>
    <row r="175" spans="1:4" x14ac:dyDescent="0.25">
      <c r="A175" s="13">
        <v>46104</v>
      </c>
      <c r="B175" s="10">
        <v>4580</v>
      </c>
      <c r="C175" s="11">
        <v>3097</v>
      </c>
      <c r="D175" s="12">
        <v>4102</v>
      </c>
    </row>
    <row r="176" spans="1:4" x14ac:dyDescent="0.25">
      <c r="A176" s="13">
        <v>46105</v>
      </c>
      <c r="B176" s="7">
        <v>3829</v>
      </c>
      <c r="C176" s="8">
        <v>3345</v>
      </c>
      <c r="D176" s="9">
        <v>3987</v>
      </c>
    </row>
    <row r="177" spans="1:4" x14ac:dyDescent="0.25">
      <c r="A177" s="13">
        <v>46106</v>
      </c>
      <c r="B177" s="10">
        <v>3744</v>
      </c>
      <c r="C177" s="11">
        <v>4433</v>
      </c>
      <c r="D177" s="12">
        <v>3926</v>
      </c>
    </row>
    <row r="178" spans="1:4" x14ac:dyDescent="0.25">
      <c r="A178" s="13">
        <v>46107</v>
      </c>
      <c r="B178" s="7">
        <v>4501</v>
      </c>
      <c r="C178" s="8">
        <v>4285</v>
      </c>
      <c r="D178" s="9">
        <v>3619</v>
      </c>
    </row>
    <row r="179" spans="1:4" x14ac:dyDescent="0.25">
      <c r="A179" s="13">
        <v>46108</v>
      </c>
      <c r="B179" s="10">
        <v>4726</v>
      </c>
      <c r="C179" s="11">
        <v>3226</v>
      </c>
      <c r="D179" s="12">
        <v>4435</v>
      </c>
    </row>
    <row r="180" spans="1:4" x14ac:dyDescent="0.25">
      <c r="A180" s="13">
        <v>46109</v>
      </c>
      <c r="B180" s="7">
        <v>3730</v>
      </c>
      <c r="C180" s="8">
        <v>4461</v>
      </c>
      <c r="D180" s="9">
        <v>4298</v>
      </c>
    </row>
    <row r="181" spans="1:4" x14ac:dyDescent="0.25">
      <c r="A181" s="13">
        <v>46110</v>
      </c>
      <c r="B181" s="10">
        <v>3956</v>
      </c>
      <c r="C181" s="11">
        <v>3914</v>
      </c>
      <c r="D181" s="12">
        <v>3766</v>
      </c>
    </row>
    <row r="182" spans="1:4" x14ac:dyDescent="0.25">
      <c r="A182" s="13">
        <v>46111</v>
      </c>
      <c r="B182" s="7">
        <v>4579</v>
      </c>
      <c r="C182" s="8">
        <v>4170</v>
      </c>
      <c r="D182" s="9">
        <v>3799</v>
      </c>
    </row>
    <row r="183" spans="1:4" x14ac:dyDescent="0.25">
      <c r="A183" s="13">
        <v>46112</v>
      </c>
      <c r="B183" s="1">
        <v>4997</v>
      </c>
      <c r="C183" s="2">
        <v>3750</v>
      </c>
      <c r="D183" s="3">
        <v>4428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A2DA-7D78-4970-8B48-89FB65D95284}">
  <dimension ref="A1:H184"/>
  <sheetViews>
    <sheetView topLeftCell="A121" workbookViewId="0">
      <selection activeCell="F184" sqref="F184"/>
    </sheetView>
  </sheetViews>
  <sheetFormatPr defaultRowHeight="15" x14ac:dyDescent="0.25"/>
  <cols>
    <col min="1" max="1" width="10.140625" bestFit="1" customWidth="1"/>
    <col min="2" max="2" width="10.140625" style="14" customWidth="1"/>
    <col min="3" max="3" width="11.5703125" bestFit="1" customWidth="1"/>
    <col min="4" max="4" width="17.28515625" bestFit="1" customWidth="1"/>
    <col min="5" max="5" width="14" bestFit="1" customWidth="1"/>
    <col min="6" max="6" width="12.140625" bestFit="1" customWidth="1"/>
    <col min="7" max="7" width="12.28515625" bestFit="1" customWidth="1"/>
    <col min="8" max="8" width="12" bestFit="1" customWidth="1"/>
  </cols>
  <sheetData>
    <row r="1" spans="1:8" x14ac:dyDescent="0.25">
      <c r="A1" t="s">
        <v>3</v>
      </c>
      <c r="B1" s="14" t="s">
        <v>4</v>
      </c>
      <c r="C1" s="4" t="s">
        <v>0</v>
      </c>
      <c r="D1" s="5" t="s">
        <v>1</v>
      </c>
      <c r="E1" s="6" t="s">
        <v>2</v>
      </c>
      <c r="F1" s="15" t="s">
        <v>5</v>
      </c>
      <c r="G1" s="15" t="s">
        <v>6</v>
      </c>
      <c r="H1" s="15" t="s">
        <v>7</v>
      </c>
    </row>
    <row r="2" spans="1:8" x14ac:dyDescent="0.25">
      <c r="A2" s="13">
        <v>45931</v>
      </c>
      <c r="B2" s="14">
        <f>WEEKDAY(A2,2)</f>
        <v>3</v>
      </c>
      <c r="C2" s="7">
        <v>3486</v>
      </c>
      <c r="D2" s="8">
        <v>3232</v>
      </c>
      <c r="E2" s="9">
        <v>4197</v>
      </c>
      <c r="F2">
        <f>IF(OR(B2=6,B2=7),0,C2)</f>
        <v>3486</v>
      </c>
      <c r="G2">
        <f>IF(OR(B2=6,B2=7),0,D2)</f>
        <v>3232</v>
      </c>
      <c r="H2">
        <f>IF(OR(B2=6,B2=7),0,E2)</f>
        <v>4197</v>
      </c>
    </row>
    <row r="3" spans="1:8" x14ac:dyDescent="0.25">
      <c r="A3" s="13">
        <v>45932</v>
      </c>
      <c r="B3" s="14">
        <f t="shared" ref="B3:B66" si="0">WEEKDAY(A3,2)</f>
        <v>4</v>
      </c>
      <c r="C3" s="10">
        <v>4960</v>
      </c>
      <c r="D3" s="11">
        <v>2504</v>
      </c>
      <c r="E3" s="12">
        <v>3583</v>
      </c>
      <c r="F3">
        <f t="shared" ref="F3:F66" si="1">IF(OR(B3=6,B3=7),0,C3)</f>
        <v>4960</v>
      </c>
      <c r="G3">
        <f t="shared" ref="G3:G66" si="2">IF(OR(B3=6,B3=7),0,D3)</f>
        <v>2504</v>
      </c>
      <c r="H3">
        <f t="shared" ref="H3:H66" si="3">IF(OR(B3=6,B3=7),0,E3)</f>
        <v>3583</v>
      </c>
    </row>
    <row r="4" spans="1:8" x14ac:dyDescent="0.25">
      <c r="A4" s="13">
        <v>45933</v>
      </c>
      <c r="B4" s="14">
        <f t="shared" si="0"/>
        <v>5</v>
      </c>
      <c r="C4" s="7">
        <v>3662</v>
      </c>
      <c r="D4" s="8">
        <v>4613</v>
      </c>
      <c r="E4" s="9">
        <v>3929</v>
      </c>
      <c r="F4">
        <f t="shared" si="1"/>
        <v>3662</v>
      </c>
      <c r="G4">
        <f t="shared" si="2"/>
        <v>4613</v>
      </c>
      <c r="H4">
        <f t="shared" si="3"/>
        <v>3929</v>
      </c>
    </row>
    <row r="5" spans="1:8" x14ac:dyDescent="0.25">
      <c r="A5" s="13">
        <v>45934</v>
      </c>
      <c r="B5" s="14">
        <f t="shared" si="0"/>
        <v>6</v>
      </c>
      <c r="C5" s="10">
        <v>4123</v>
      </c>
      <c r="D5" s="11">
        <v>4186</v>
      </c>
      <c r="E5" s="12">
        <v>3527</v>
      </c>
      <c r="F5">
        <f t="shared" si="1"/>
        <v>0</v>
      </c>
      <c r="G5">
        <f t="shared" si="2"/>
        <v>0</v>
      </c>
      <c r="H5">
        <f t="shared" si="3"/>
        <v>0</v>
      </c>
    </row>
    <row r="6" spans="1:8" x14ac:dyDescent="0.25">
      <c r="A6" s="13">
        <v>45935</v>
      </c>
      <c r="B6" s="14">
        <f t="shared" si="0"/>
        <v>7</v>
      </c>
      <c r="C6" s="7">
        <v>4729</v>
      </c>
      <c r="D6" s="8">
        <v>3850</v>
      </c>
      <c r="E6" s="9">
        <v>4169</v>
      </c>
      <c r="F6">
        <f t="shared" si="1"/>
        <v>0</v>
      </c>
      <c r="G6">
        <f t="shared" si="2"/>
        <v>0</v>
      </c>
      <c r="H6">
        <f t="shared" si="3"/>
        <v>0</v>
      </c>
    </row>
    <row r="7" spans="1:8" x14ac:dyDescent="0.25">
      <c r="A7" s="13">
        <v>45936</v>
      </c>
      <c r="B7" s="14">
        <f t="shared" si="0"/>
        <v>1</v>
      </c>
      <c r="C7" s="10">
        <v>4219</v>
      </c>
      <c r="D7" s="11">
        <v>4006</v>
      </c>
      <c r="E7" s="12">
        <v>3604</v>
      </c>
      <c r="F7">
        <f t="shared" si="1"/>
        <v>4219</v>
      </c>
      <c r="G7">
        <f t="shared" si="2"/>
        <v>4006</v>
      </c>
      <c r="H7">
        <f t="shared" si="3"/>
        <v>3604</v>
      </c>
    </row>
    <row r="8" spans="1:8" x14ac:dyDescent="0.25">
      <c r="A8" s="13">
        <v>45937</v>
      </c>
      <c r="B8" s="14">
        <f t="shared" si="0"/>
        <v>2</v>
      </c>
      <c r="C8" s="7">
        <v>4159</v>
      </c>
      <c r="D8" s="8">
        <v>4617</v>
      </c>
      <c r="E8" s="9">
        <v>4245</v>
      </c>
      <c r="F8">
        <f t="shared" si="1"/>
        <v>4159</v>
      </c>
      <c r="G8">
        <f t="shared" si="2"/>
        <v>4617</v>
      </c>
      <c r="H8">
        <f t="shared" si="3"/>
        <v>4245</v>
      </c>
    </row>
    <row r="9" spans="1:8" x14ac:dyDescent="0.25">
      <c r="A9" s="13">
        <v>45938</v>
      </c>
      <c r="B9" s="14">
        <f t="shared" si="0"/>
        <v>3</v>
      </c>
      <c r="C9" s="10">
        <v>4831</v>
      </c>
      <c r="D9" s="11">
        <v>2933</v>
      </c>
      <c r="E9" s="12">
        <v>4396</v>
      </c>
      <c r="F9">
        <f t="shared" si="1"/>
        <v>4831</v>
      </c>
      <c r="G9">
        <f t="shared" si="2"/>
        <v>2933</v>
      </c>
      <c r="H9">
        <f t="shared" si="3"/>
        <v>4396</v>
      </c>
    </row>
    <row r="10" spans="1:8" x14ac:dyDescent="0.25">
      <c r="A10" s="13">
        <v>45939</v>
      </c>
      <c r="B10" s="14">
        <f t="shared" si="0"/>
        <v>4</v>
      </c>
      <c r="C10" s="7">
        <v>3679</v>
      </c>
      <c r="D10" s="8">
        <v>4671</v>
      </c>
      <c r="E10" s="9">
        <v>4429</v>
      </c>
      <c r="F10">
        <f t="shared" si="1"/>
        <v>3679</v>
      </c>
      <c r="G10">
        <f t="shared" si="2"/>
        <v>4671</v>
      </c>
      <c r="H10">
        <f t="shared" si="3"/>
        <v>4429</v>
      </c>
    </row>
    <row r="11" spans="1:8" x14ac:dyDescent="0.25">
      <c r="A11" s="13">
        <v>45940</v>
      </c>
      <c r="B11" s="14">
        <f t="shared" si="0"/>
        <v>5</v>
      </c>
      <c r="C11" s="10">
        <v>4005</v>
      </c>
      <c r="D11" s="11">
        <v>4305</v>
      </c>
      <c r="E11" s="12">
        <v>3752</v>
      </c>
      <c r="F11">
        <f t="shared" si="1"/>
        <v>4005</v>
      </c>
      <c r="G11">
        <f t="shared" si="2"/>
        <v>4305</v>
      </c>
      <c r="H11">
        <f t="shared" si="3"/>
        <v>3752</v>
      </c>
    </row>
    <row r="12" spans="1:8" x14ac:dyDescent="0.25">
      <c r="A12" s="13">
        <v>45941</v>
      </c>
      <c r="B12" s="14">
        <f t="shared" si="0"/>
        <v>6</v>
      </c>
      <c r="C12" s="7">
        <v>3943</v>
      </c>
      <c r="D12" s="8">
        <v>3667</v>
      </c>
      <c r="E12" s="9">
        <v>3663</v>
      </c>
      <c r="F12">
        <f t="shared" si="1"/>
        <v>0</v>
      </c>
      <c r="G12">
        <f t="shared" si="2"/>
        <v>0</v>
      </c>
      <c r="H12">
        <f t="shared" si="3"/>
        <v>0</v>
      </c>
    </row>
    <row r="13" spans="1:8" x14ac:dyDescent="0.25">
      <c r="A13" s="13">
        <v>45942</v>
      </c>
      <c r="B13" s="14">
        <f t="shared" si="0"/>
        <v>7</v>
      </c>
      <c r="C13" s="10">
        <v>3904</v>
      </c>
      <c r="D13" s="11">
        <v>3432</v>
      </c>
      <c r="E13" s="12">
        <v>4493</v>
      </c>
      <c r="F13">
        <f t="shared" si="1"/>
        <v>0</v>
      </c>
      <c r="G13">
        <f t="shared" si="2"/>
        <v>0</v>
      </c>
      <c r="H13">
        <f t="shared" si="3"/>
        <v>0</v>
      </c>
    </row>
    <row r="14" spans="1:8" x14ac:dyDescent="0.25">
      <c r="A14" s="13">
        <v>45943</v>
      </c>
      <c r="B14" s="14">
        <f t="shared" si="0"/>
        <v>1</v>
      </c>
      <c r="C14" s="7">
        <v>4521</v>
      </c>
      <c r="D14" s="8">
        <v>3098</v>
      </c>
      <c r="E14" s="9">
        <v>4316</v>
      </c>
      <c r="F14">
        <f t="shared" si="1"/>
        <v>4521</v>
      </c>
      <c r="G14">
        <f t="shared" si="2"/>
        <v>3098</v>
      </c>
      <c r="H14">
        <f t="shared" si="3"/>
        <v>4316</v>
      </c>
    </row>
    <row r="15" spans="1:8" x14ac:dyDescent="0.25">
      <c r="A15" s="13">
        <v>45944</v>
      </c>
      <c r="B15" s="14">
        <f t="shared" si="0"/>
        <v>2</v>
      </c>
      <c r="C15" s="10">
        <v>3388</v>
      </c>
      <c r="D15" s="11">
        <v>4492</v>
      </c>
      <c r="E15" s="12">
        <v>3501</v>
      </c>
      <c r="F15">
        <f t="shared" si="1"/>
        <v>3388</v>
      </c>
      <c r="G15">
        <f t="shared" si="2"/>
        <v>4492</v>
      </c>
      <c r="H15">
        <f t="shared" si="3"/>
        <v>3501</v>
      </c>
    </row>
    <row r="16" spans="1:8" x14ac:dyDescent="0.25">
      <c r="A16" s="13">
        <v>45945</v>
      </c>
      <c r="B16" s="14">
        <f t="shared" si="0"/>
        <v>3</v>
      </c>
      <c r="C16" s="7">
        <v>4550</v>
      </c>
      <c r="D16" s="8">
        <v>3393</v>
      </c>
      <c r="E16" s="9">
        <v>4195</v>
      </c>
      <c r="F16">
        <f t="shared" si="1"/>
        <v>4550</v>
      </c>
      <c r="G16">
        <f t="shared" si="2"/>
        <v>3393</v>
      </c>
      <c r="H16">
        <f t="shared" si="3"/>
        <v>4195</v>
      </c>
    </row>
    <row r="17" spans="1:8" x14ac:dyDescent="0.25">
      <c r="A17" s="13">
        <v>45946</v>
      </c>
      <c r="B17" s="14">
        <f t="shared" si="0"/>
        <v>4</v>
      </c>
      <c r="C17" s="10">
        <v>3471</v>
      </c>
      <c r="D17" s="11">
        <v>2930</v>
      </c>
      <c r="E17" s="12">
        <v>3843</v>
      </c>
      <c r="F17">
        <f t="shared" si="1"/>
        <v>3471</v>
      </c>
      <c r="G17">
        <f t="shared" si="2"/>
        <v>2930</v>
      </c>
      <c r="H17">
        <f t="shared" si="3"/>
        <v>3843</v>
      </c>
    </row>
    <row r="18" spans="1:8" x14ac:dyDescent="0.25">
      <c r="A18" s="13">
        <v>45947</v>
      </c>
      <c r="B18" s="14">
        <f t="shared" si="0"/>
        <v>5</v>
      </c>
      <c r="C18" s="7">
        <v>3774</v>
      </c>
      <c r="D18" s="8">
        <v>3220</v>
      </c>
      <c r="E18" s="9">
        <v>3684</v>
      </c>
      <c r="F18">
        <f t="shared" si="1"/>
        <v>3774</v>
      </c>
      <c r="G18">
        <f t="shared" si="2"/>
        <v>3220</v>
      </c>
      <c r="H18">
        <f t="shared" si="3"/>
        <v>3684</v>
      </c>
    </row>
    <row r="19" spans="1:8" x14ac:dyDescent="0.25">
      <c r="A19" s="13">
        <v>45948</v>
      </c>
      <c r="B19" s="14">
        <f t="shared" si="0"/>
        <v>6</v>
      </c>
      <c r="C19" s="10">
        <v>4296</v>
      </c>
      <c r="D19" s="11">
        <v>3366</v>
      </c>
      <c r="E19" s="12">
        <v>3726</v>
      </c>
      <c r="F19">
        <f t="shared" si="1"/>
        <v>0</v>
      </c>
      <c r="G19">
        <f t="shared" si="2"/>
        <v>0</v>
      </c>
      <c r="H19">
        <f t="shared" si="3"/>
        <v>0</v>
      </c>
    </row>
    <row r="20" spans="1:8" x14ac:dyDescent="0.25">
      <c r="A20" s="13">
        <v>45949</v>
      </c>
      <c r="B20" s="14">
        <f t="shared" si="0"/>
        <v>7</v>
      </c>
      <c r="C20" s="7">
        <v>4491</v>
      </c>
      <c r="D20" s="8">
        <v>3368</v>
      </c>
      <c r="E20" s="9">
        <v>4178</v>
      </c>
      <c r="F20">
        <f t="shared" si="1"/>
        <v>0</v>
      </c>
      <c r="G20">
        <f t="shared" si="2"/>
        <v>0</v>
      </c>
      <c r="H20">
        <f t="shared" si="3"/>
        <v>0</v>
      </c>
    </row>
    <row r="21" spans="1:8" x14ac:dyDescent="0.25">
      <c r="A21" s="13">
        <v>45950</v>
      </c>
      <c r="B21" s="14">
        <f t="shared" si="0"/>
        <v>1</v>
      </c>
      <c r="C21" s="10">
        <v>3951</v>
      </c>
      <c r="D21" s="11">
        <v>3372</v>
      </c>
      <c r="E21" s="12">
        <v>3891</v>
      </c>
      <c r="F21">
        <f t="shared" si="1"/>
        <v>3951</v>
      </c>
      <c r="G21">
        <f t="shared" si="2"/>
        <v>3372</v>
      </c>
      <c r="H21">
        <f t="shared" si="3"/>
        <v>3891</v>
      </c>
    </row>
    <row r="22" spans="1:8" x14ac:dyDescent="0.25">
      <c r="A22" s="13">
        <v>45951</v>
      </c>
      <c r="B22" s="14">
        <f t="shared" si="0"/>
        <v>2</v>
      </c>
      <c r="C22" s="7">
        <v>4491</v>
      </c>
      <c r="D22" s="8">
        <v>3752</v>
      </c>
      <c r="E22" s="9">
        <v>3860</v>
      </c>
      <c r="F22">
        <f t="shared" si="1"/>
        <v>4491</v>
      </c>
      <c r="G22">
        <f t="shared" si="2"/>
        <v>3752</v>
      </c>
      <c r="H22">
        <f t="shared" si="3"/>
        <v>3860</v>
      </c>
    </row>
    <row r="23" spans="1:8" x14ac:dyDescent="0.25">
      <c r="A23" s="13">
        <v>45952</v>
      </c>
      <c r="B23" s="14">
        <f t="shared" si="0"/>
        <v>3</v>
      </c>
      <c r="C23" s="10">
        <v>3653</v>
      </c>
      <c r="D23" s="11">
        <v>4480</v>
      </c>
      <c r="E23" s="12">
        <v>3510</v>
      </c>
      <c r="F23">
        <f t="shared" si="1"/>
        <v>3653</v>
      </c>
      <c r="G23">
        <f t="shared" si="2"/>
        <v>4480</v>
      </c>
      <c r="H23">
        <f t="shared" si="3"/>
        <v>3510</v>
      </c>
    </row>
    <row r="24" spans="1:8" x14ac:dyDescent="0.25">
      <c r="A24" s="13">
        <v>45953</v>
      </c>
      <c r="B24" s="14">
        <f t="shared" si="0"/>
        <v>4</v>
      </c>
      <c r="C24" s="7">
        <v>3848</v>
      </c>
      <c r="D24" s="8">
        <v>4019</v>
      </c>
      <c r="E24" s="9">
        <v>3715</v>
      </c>
      <c r="F24">
        <f t="shared" si="1"/>
        <v>3848</v>
      </c>
      <c r="G24">
        <f t="shared" si="2"/>
        <v>4019</v>
      </c>
      <c r="H24">
        <f t="shared" si="3"/>
        <v>3715</v>
      </c>
    </row>
    <row r="25" spans="1:8" x14ac:dyDescent="0.25">
      <c r="A25" s="13">
        <v>45954</v>
      </c>
      <c r="B25" s="14">
        <f t="shared" si="0"/>
        <v>5</v>
      </c>
      <c r="C25" s="10">
        <v>3915</v>
      </c>
      <c r="D25" s="11">
        <v>4415</v>
      </c>
      <c r="E25" s="12">
        <v>4302</v>
      </c>
      <c r="F25">
        <f t="shared" si="1"/>
        <v>3915</v>
      </c>
      <c r="G25">
        <f t="shared" si="2"/>
        <v>4415</v>
      </c>
      <c r="H25">
        <f t="shared" si="3"/>
        <v>4302</v>
      </c>
    </row>
    <row r="26" spans="1:8" x14ac:dyDescent="0.25">
      <c r="A26" s="13">
        <v>45955</v>
      </c>
      <c r="B26" s="14">
        <f t="shared" si="0"/>
        <v>6</v>
      </c>
      <c r="C26" s="7">
        <v>3876</v>
      </c>
      <c r="D26" s="8">
        <v>4802</v>
      </c>
      <c r="E26" s="9">
        <v>3939</v>
      </c>
      <c r="F26">
        <f t="shared" si="1"/>
        <v>0</v>
      </c>
      <c r="G26">
        <f t="shared" si="2"/>
        <v>0</v>
      </c>
      <c r="H26">
        <f t="shared" si="3"/>
        <v>0</v>
      </c>
    </row>
    <row r="27" spans="1:8" x14ac:dyDescent="0.25">
      <c r="A27" s="13">
        <v>45956</v>
      </c>
      <c r="B27" s="14">
        <f t="shared" si="0"/>
        <v>7</v>
      </c>
      <c r="C27" s="10">
        <v>4335</v>
      </c>
      <c r="D27" s="11">
        <v>2508</v>
      </c>
      <c r="E27" s="12">
        <v>4460</v>
      </c>
      <c r="F27">
        <f t="shared" si="1"/>
        <v>0</v>
      </c>
      <c r="G27">
        <f t="shared" si="2"/>
        <v>0</v>
      </c>
      <c r="H27">
        <f t="shared" si="3"/>
        <v>0</v>
      </c>
    </row>
    <row r="28" spans="1:8" x14ac:dyDescent="0.25">
      <c r="A28" s="13">
        <v>45957</v>
      </c>
      <c r="B28" s="14">
        <f t="shared" si="0"/>
        <v>1</v>
      </c>
      <c r="C28" s="7">
        <v>3418</v>
      </c>
      <c r="D28" s="8">
        <v>3594</v>
      </c>
      <c r="E28" s="9">
        <v>3846</v>
      </c>
      <c r="F28">
        <f t="shared" si="1"/>
        <v>3418</v>
      </c>
      <c r="G28">
        <f t="shared" si="2"/>
        <v>3594</v>
      </c>
      <c r="H28">
        <f t="shared" si="3"/>
        <v>3846</v>
      </c>
    </row>
    <row r="29" spans="1:8" x14ac:dyDescent="0.25">
      <c r="A29" s="13">
        <v>45958</v>
      </c>
      <c r="B29" s="14">
        <f t="shared" si="0"/>
        <v>2</v>
      </c>
      <c r="C29" s="10">
        <v>3230</v>
      </c>
      <c r="D29" s="11">
        <v>2774</v>
      </c>
      <c r="E29" s="12">
        <v>4242</v>
      </c>
      <c r="F29">
        <f t="shared" si="1"/>
        <v>3230</v>
      </c>
      <c r="G29">
        <f t="shared" si="2"/>
        <v>2774</v>
      </c>
      <c r="H29">
        <f t="shared" si="3"/>
        <v>4242</v>
      </c>
    </row>
    <row r="30" spans="1:8" x14ac:dyDescent="0.25">
      <c r="A30" s="13">
        <v>45959</v>
      </c>
      <c r="B30" s="14">
        <f t="shared" si="0"/>
        <v>3</v>
      </c>
      <c r="C30" s="7">
        <v>3066</v>
      </c>
      <c r="D30" s="8">
        <v>3374</v>
      </c>
      <c r="E30" s="9">
        <v>3664</v>
      </c>
      <c r="F30">
        <f t="shared" si="1"/>
        <v>3066</v>
      </c>
      <c r="G30">
        <f t="shared" si="2"/>
        <v>3374</v>
      </c>
      <c r="H30">
        <f t="shared" si="3"/>
        <v>3664</v>
      </c>
    </row>
    <row r="31" spans="1:8" x14ac:dyDescent="0.25">
      <c r="A31" s="13">
        <v>45960</v>
      </c>
      <c r="B31" s="14">
        <f t="shared" si="0"/>
        <v>4</v>
      </c>
      <c r="C31" s="10">
        <v>4823</v>
      </c>
      <c r="D31" s="11">
        <v>4830</v>
      </c>
      <c r="E31" s="12">
        <v>4315</v>
      </c>
      <c r="F31">
        <f t="shared" si="1"/>
        <v>4823</v>
      </c>
      <c r="G31">
        <f t="shared" si="2"/>
        <v>4830</v>
      </c>
      <c r="H31">
        <f t="shared" si="3"/>
        <v>4315</v>
      </c>
    </row>
    <row r="32" spans="1:8" x14ac:dyDescent="0.25">
      <c r="A32" s="13">
        <v>45961</v>
      </c>
      <c r="B32" s="14">
        <f t="shared" si="0"/>
        <v>5</v>
      </c>
      <c r="C32" s="7">
        <v>3533</v>
      </c>
      <c r="D32" s="8">
        <v>2866</v>
      </c>
      <c r="E32" s="9">
        <v>3680</v>
      </c>
      <c r="F32">
        <f t="shared" si="1"/>
        <v>3533</v>
      </c>
      <c r="G32">
        <f t="shared" si="2"/>
        <v>2866</v>
      </c>
      <c r="H32">
        <f t="shared" si="3"/>
        <v>3680</v>
      </c>
    </row>
    <row r="33" spans="1:8" x14ac:dyDescent="0.25">
      <c r="A33" s="13">
        <v>45962</v>
      </c>
      <c r="B33" s="14">
        <f t="shared" si="0"/>
        <v>6</v>
      </c>
      <c r="C33" s="10">
        <v>4965</v>
      </c>
      <c r="D33" s="11">
        <v>4199</v>
      </c>
      <c r="E33" s="12">
        <v>4055</v>
      </c>
      <c r="F33">
        <f t="shared" si="1"/>
        <v>0</v>
      </c>
      <c r="G33">
        <f t="shared" si="2"/>
        <v>0</v>
      </c>
      <c r="H33">
        <f t="shared" si="3"/>
        <v>0</v>
      </c>
    </row>
    <row r="34" spans="1:8" x14ac:dyDescent="0.25">
      <c r="A34" s="13">
        <v>45963</v>
      </c>
      <c r="B34" s="14">
        <f t="shared" si="0"/>
        <v>7</v>
      </c>
      <c r="C34" s="7">
        <v>4813</v>
      </c>
      <c r="D34" s="8">
        <v>4912</v>
      </c>
      <c r="E34" s="9">
        <v>4436</v>
      </c>
      <c r="F34">
        <f t="shared" si="1"/>
        <v>0</v>
      </c>
      <c r="G34">
        <f t="shared" si="2"/>
        <v>0</v>
      </c>
      <c r="H34">
        <f t="shared" si="3"/>
        <v>0</v>
      </c>
    </row>
    <row r="35" spans="1:8" x14ac:dyDescent="0.25">
      <c r="A35" s="13">
        <v>45964</v>
      </c>
      <c r="B35" s="14">
        <f t="shared" si="0"/>
        <v>1</v>
      </c>
      <c r="C35" s="10">
        <v>3837</v>
      </c>
      <c r="D35" s="11">
        <v>2720</v>
      </c>
      <c r="E35" s="12">
        <v>4330</v>
      </c>
      <c r="F35">
        <f t="shared" si="1"/>
        <v>3837</v>
      </c>
      <c r="G35">
        <f t="shared" si="2"/>
        <v>2720</v>
      </c>
      <c r="H35">
        <f t="shared" si="3"/>
        <v>4330</v>
      </c>
    </row>
    <row r="36" spans="1:8" x14ac:dyDescent="0.25">
      <c r="A36" s="13">
        <v>45965</v>
      </c>
      <c r="B36" s="14">
        <f t="shared" si="0"/>
        <v>2</v>
      </c>
      <c r="C36" s="7">
        <v>3948</v>
      </c>
      <c r="D36" s="8">
        <v>3545</v>
      </c>
      <c r="E36" s="9">
        <v>3655</v>
      </c>
      <c r="F36">
        <f t="shared" si="1"/>
        <v>3948</v>
      </c>
      <c r="G36">
        <f t="shared" si="2"/>
        <v>3545</v>
      </c>
      <c r="H36">
        <f t="shared" si="3"/>
        <v>3655</v>
      </c>
    </row>
    <row r="37" spans="1:8" x14ac:dyDescent="0.25">
      <c r="A37" s="13">
        <v>45966</v>
      </c>
      <c r="B37" s="14">
        <f t="shared" si="0"/>
        <v>3</v>
      </c>
      <c r="C37" s="10">
        <v>3918</v>
      </c>
      <c r="D37" s="11">
        <v>4830</v>
      </c>
      <c r="E37" s="12">
        <v>4285</v>
      </c>
      <c r="F37">
        <f t="shared" si="1"/>
        <v>3918</v>
      </c>
      <c r="G37">
        <f t="shared" si="2"/>
        <v>4830</v>
      </c>
      <c r="H37">
        <f t="shared" si="3"/>
        <v>4285</v>
      </c>
    </row>
    <row r="38" spans="1:8" x14ac:dyDescent="0.25">
      <c r="A38" s="13">
        <v>45967</v>
      </c>
      <c r="B38" s="14">
        <f t="shared" si="0"/>
        <v>4</v>
      </c>
      <c r="C38" s="7">
        <v>3301</v>
      </c>
      <c r="D38" s="8">
        <v>3785</v>
      </c>
      <c r="E38" s="9">
        <v>4272</v>
      </c>
      <c r="F38">
        <f t="shared" si="1"/>
        <v>3301</v>
      </c>
      <c r="G38">
        <f t="shared" si="2"/>
        <v>3785</v>
      </c>
      <c r="H38">
        <f t="shared" si="3"/>
        <v>4272</v>
      </c>
    </row>
    <row r="39" spans="1:8" x14ac:dyDescent="0.25">
      <c r="A39" s="13">
        <v>45968</v>
      </c>
      <c r="B39" s="14">
        <f t="shared" si="0"/>
        <v>5</v>
      </c>
      <c r="C39" s="10">
        <v>3310</v>
      </c>
      <c r="D39" s="11">
        <v>2716</v>
      </c>
      <c r="E39" s="12">
        <v>4059</v>
      </c>
      <c r="F39">
        <f t="shared" si="1"/>
        <v>3310</v>
      </c>
      <c r="G39">
        <f t="shared" si="2"/>
        <v>2716</v>
      </c>
      <c r="H39">
        <f t="shared" si="3"/>
        <v>4059</v>
      </c>
    </row>
    <row r="40" spans="1:8" x14ac:dyDescent="0.25">
      <c r="A40" s="13">
        <v>45969</v>
      </c>
      <c r="B40" s="14">
        <f t="shared" si="0"/>
        <v>6</v>
      </c>
      <c r="C40" s="7">
        <v>4177</v>
      </c>
      <c r="D40" s="8">
        <v>3087</v>
      </c>
      <c r="E40" s="9">
        <v>4270</v>
      </c>
      <c r="F40">
        <f t="shared" si="1"/>
        <v>0</v>
      </c>
      <c r="G40">
        <f t="shared" si="2"/>
        <v>0</v>
      </c>
      <c r="H40">
        <f t="shared" si="3"/>
        <v>0</v>
      </c>
    </row>
    <row r="41" spans="1:8" x14ac:dyDescent="0.25">
      <c r="A41" s="13">
        <v>45970</v>
      </c>
      <c r="B41" s="14">
        <f t="shared" si="0"/>
        <v>7</v>
      </c>
      <c r="C41" s="10">
        <v>3646</v>
      </c>
      <c r="D41" s="11">
        <v>4622</v>
      </c>
      <c r="E41" s="12">
        <v>3905</v>
      </c>
      <c r="F41">
        <f t="shared" si="1"/>
        <v>0</v>
      </c>
      <c r="G41">
        <f t="shared" si="2"/>
        <v>0</v>
      </c>
      <c r="H41">
        <f t="shared" si="3"/>
        <v>0</v>
      </c>
    </row>
    <row r="42" spans="1:8" x14ac:dyDescent="0.25">
      <c r="A42" s="13">
        <v>45971</v>
      </c>
      <c r="B42" s="14">
        <f t="shared" si="0"/>
        <v>1</v>
      </c>
      <c r="C42" s="7">
        <v>3603</v>
      </c>
      <c r="D42" s="8">
        <v>4985</v>
      </c>
      <c r="E42" s="9">
        <v>4082</v>
      </c>
      <c r="F42">
        <f t="shared" si="1"/>
        <v>3603</v>
      </c>
      <c r="G42">
        <f t="shared" si="2"/>
        <v>4985</v>
      </c>
      <c r="H42">
        <f t="shared" si="3"/>
        <v>4082</v>
      </c>
    </row>
    <row r="43" spans="1:8" x14ac:dyDescent="0.25">
      <c r="A43" s="13">
        <v>45972</v>
      </c>
      <c r="B43" s="14">
        <f t="shared" si="0"/>
        <v>2</v>
      </c>
      <c r="C43" s="10">
        <v>4500</v>
      </c>
      <c r="D43" s="11">
        <v>4658</v>
      </c>
      <c r="E43" s="12">
        <v>3583</v>
      </c>
      <c r="F43">
        <f t="shared" si="1"/>
        <v>4500</v>
      </c>
      <c r="G43">
        <f t="shared" si="2"/>
        <v>4658</v>
      </c>
      <c r="H43">
        <f t="shared" si="3"/>
        <v>3583</v>
      </c>
    </row>
    <row r="44" spans="1:8" x14ac:dyDescent="0.25">
      <c r="A44" s="13">
        <v>45973</v>
      </c>
      <c r="B44" s="14">
        <f t="shared" si="0"/>
        <v>3</v>
      </c>
      <c r="C44" s="7">
        <v>4642</v>
      </c>
      <c r="D44" s="8">
        <v>3721</v>
      </c>
      <c r="E44" s="9">
        <v>4045</v>
      </c>
      <c r="F44">
        <f t="shared" si="1"/>
        <v>4642</v>
      </c>
      <c r="G44">
        <f t="shared" si="2"/>
        <v>3721</v>
      </c>
      <c r="H44">
        <f t="shared" si="3"/>
        <v>4045</v>
      </c>
    </row>
    <row r="45" spans="1:8" x14ac:dyDescent="0.25">
      <c r="A45" s="13">
        <v>45974</v>
      </c>
      <c r="B45" s="14">
        <f t="shared" si="0"/>
        <v>4</v>
      </c>
      <c r="C45" s="10">
        <v>4280</v>
      </c>
      <c r="D45" s="11">
        <v>2622</v>
      </c>
      <c r="E45" s="12">
        <v>3630</v>
      </c>
      <c r="F45">
        <f t="shared" si="1"/>
        <v>4280</v>
      </c>
      <c r="G45">
        <f t="shared" si="2"/>
        <v>2622</v>
      </c>
      <c r="H45">
        <f t="shared" si="3"/>
        <v>3630</v>
      </c>
    </row>
    <row r="46" spans="1:8" x14ac:dyDescent="0.25">
      <c r="A46" s="13">
        <v>45975</v>
      </c>
      <c r="B46" s="14">
        <f t="shared" si="0"/>
        <v>5</v>
      </c>
      <c r="C46" s="7">
        <v>3307</v>
      </c>
      <c r="D46" s="8">
        <v>4450</v>
      </c>
      <c r="E46" s="9">
        <v>3551</v>
      </c>
      <c r="F46">
        <f t="shared" si="1"/>
        <v>3307</v>
      </c>
      <c r="G46">
        <f t="shared" si="2"/>
        <v>4450</v>
      </c>
      <c r="H46">
        <f t="shared" si="3"/>
        <v>3551</v>
      </c>
    </row>
    <row r="47" spans="1:8" x14ac:dyDescent="0.25">
      <c r="A47" s="13">
        <v>45976</v>
      </c>
      <c r="B47" s="14">
        <f t="shared" si="0"/>
        <v>6</v>
      </c>
      <c r="C47" s="10">
        <v>3132</v>
      </c>
      <c r="D47" s="11">
        <v>3118</v>
      </c>
      <c r="E47" s="12">
        <v>4231</v>
      </c>
      <c r="F47">
        <f t="shared" si="1"/>
        <v>0</v>
      </c>
      <c r="G47">
        <f t="shared" si="2"/>
        <v>0</v>
      </c>
      <c r="H47">
        <f t="shared" si="3"/>
        <v>0</v>
      </c>
    </row>
    <row r="48" spans="1:8" x14ac:dyDescent="0.25">
      <c r="A48" s="13">
        <v>45977</v>
      </c>
      <c r="B48" s="14">
        <f t="shared" si="0"/>
        <v>7</v>
      </c>
      <c r="C48" s="7">
        <v>3438</v>
      </c>
      <c r="D48" s="8">
        <v>2559</v>
      </c>
      <c r="E48" s="9">
        <v>4323</v>
      </c>
      <c r="F48">
        <f t="shared" si="1"/>
        <v>0</v>
      </c>
      <c r="G48">
        <f t="shared" si="2"/>
        <v>0</v>
      </c>
      <c r="H48">
        <f t="shared" si="3"/>
        <v>0</v>
      </c>
    </row>
    <row r="49" spans="1:8" x14ac:dyDescent="0.25">
      <c r="A49" s="13">
        <v>45978</v>
      </c>
      <c r="B49" s="14">
        <f t="shared" si="0"/>
        <v>1</v>
      </c>
      <c r="C49" s="10">
        <v>4209</v>
      </c>
      <c r="D49" s="11">
        <v>4094</v>
      </c>
      <c r="E49" s="12">
        <v>3533</v>
      </c>
      <c r="F49">
        <f t="shared" si="1"/>
        <v>4209</v>
      </c>
      <c r="G49">
        <f t="shared" si="2"/>
        <v>4094</v>
      </c>
      <c r="H49">
        <f t="shared" si="3"/>
        <v>3533</v>
      </c>
    </row>
    <row r="50" spans="1:8" x14ac:dyDescent="0.25">
      <c r="A50" s="13">
        <v>45979</v>
      </c>
      <c r="B50" s="14">
        <f t="shared" si="0"/>
        <v>2</v>
      </c>
      <c r="C50" s="7">
        <v>3469</v>
      </c>
      <c r="D50" s="8">
        <v>3582</v>
      </c>
      <c r="E50" s="9">
        <v>3578</v>
      </c>
      <c r="F50">
        <f t="shared" si="1"/>
        <v>3469</v>
      </c>
      <c r="G50">
        <f t="shared" si="2"/>
        <v>3582</v>
      </c>
      <c r="H50">
        <f t="shared" si="3"/>
        <v>3578</v>
      </c>
    </row>
    <row r="51" spans="1:8" x14ac:dyDescent="0.25">
      <c r="A51" s="13">
        <v>45980</v>
      </c>
      <c r="B51" s="14">
        <f t="shared" si="0"/>
        <v>3</v>
      </c>
      <c r="C51" s="10">
        <v>3964</v>
      </c>
      <c r="D51" s="11">
        <v>4282</v>
      </c>
      <c r="E51" s="12">
        <v>3642</v>
      </c>
      <c r="F51">
        <f t="shared" si="1"/>
        <v>3964</v>
      </c>
      <c r="G51">
        <f t="shared" si="2"/>
        <v>4282</v>
      </c>
      <c r="H51">
        <f t="shared" si="3"/>
        <v>3642</v>
      </c>
    </row>
    <row r="52" spans="1:8" x14ac:dyDescent="0.25">
      <c r="A52" s="13">
        <v>45981</v>
      </c>
      <c r="B52" s="14">
        <f t="shared" si="0"/>
        <v>4</v>
      </c>
      <c r="C52" s="7">
        <v>3464</v>
      </c>
      <c r="D52" s="8">
        <v>3816</v>
      </c>
      <c r="E52" s="9">
        <v>4038</v>
      </c>
      <c r="F52">
        <f t="shared" si="1"/>
        <v>3464</v>
      </c>
      <c r="G52">
        <f t="shared" si="2"/>
        <v>3816</v>
      </c>
      <c r="H52">
        <f t="shared" si="3"/>
        <v>4038</v>
      </c>
    </row>
    <row r="53" spans="1:8" x14ac:dyDescent="0.25">
      <c r="A53" s="13">
        <v>45982</v>
      </c>
      <c r="B53" s="14">
        <f t="shared" si="0"/>
        <v>5</v>
      </c>
      <c r="C53" s="10">
        <v>4762</v>
      </c>
      <c r="D53" s="11">
        <v>3842</v>
      </c>
      <c r="E53" s="12">
        <v>4097</v>
      </c>
      <c r="F53">
        <f t="shared" si="1"/>
        <v>4762</v>
      </c>
      <c r="G53">
        <f t="shared" si="2"/>
        <v>3842</v>
      </c>
      <c r="H53">
        <f t="shared" si="3"/>
        <v>4097</v>
      </c>
    </row>
    <row r="54" spans="1:8" x14ac:dyDescent="0.25">
      <c r="A54" s="13">
        <v>45983</v>
      </c>
      <c r="B54" s="14">
        <f t="shared" si="0"/>
        <v>6</v>
      </c>
      <c r="C54" s="7">
        <v>3239</v>
      </c>
      <c r="D54" s="8">
        <v>3124</v>
      </c>
      <c r="E54" s="9">
        <v>4114</v>
      </c>
      <c r="F54">
        <f t="shared" si="1"/>
        <v>0</v>
      </c>
      <c r="G54">
        <f t="shared" si="2"/>
        <v>0</v>
      </c>
      <c r="H54">
        <f t="shared" si="3"/>
        <v>0</v>
      </c>
    </row>
    <row r="55" spans="1:8" x14ac:dyDescent="0.25">
      <c r="A55" s="13">
        <v>45984</v>
      </c>
      <c r="B55" s="14">
        <f t="shared" si="0"/>
        <v>7</v>
      </c>
      <c r="C55" s="10">
        <v>4722</v>
      </c>
      <c r="D55" s="11">
        <v>4675</v>
      </c>
      <c r="E55" s="12">
        <v>4499</v>
      </c>
      <c r="F55">
        <f t="shared" si="1"/>
        <v>0</v>
      </c>
      <c r="G55">
        <f t="shared" si="2"/>
        <v>0</v>
      </c>
      <c r="H55">
        <f t="shared" si="3"/>
        <v>0</v>
      </c>
    </row>
    <row r="56" spans="1:8" x14ac:dyDescent="0.25">
      <c r="A56" s="13">
        <v>45985</v>
      </c>
      <c r="B56" s="14">
        <f t="shared" si="0"/>
        <v>1</v>
      </c>
      <c r="C56" s="7">
        <v>4398</v>
      </c>
      <c r="D56" s="8">
        <v>3072</v>
      </c>
      <c r="E56" s="9">
        <v>4282</v>
      </c>
      <c r="F56">
        <f t="shared" si="1"/>
        <v>4398</v>
      </c>
      <c r="G56">
        <f t="shared" si="2"/>
        <v>3072</v>
      </c>
      <c r="H56">
        <f t="shared" si="3"/>
        <v>4282</v>
      </c>
    </row>
    <row r="57" spans="1:8" x14ac:dyDescent="0.25">
      <c r="A57" s="13">
        <v>45986</v>
      </c>
      <c r="B57" s="14">
        <f t="shared" si="0"/>
        <v>2</v>
      </c>
      <c r="C57" s="10">
        <v>3950</v>
      </c>
      <c r="D57" s="11">
        <v>3684</v>
      </c>
      <c r="E57" s="12">
        <v>3825</v>
      </c>
      <c r="F57">
        <f t="shared" si="1"/>
        <v>3950</v>
      </c>
      <c r="G57">
        <f t="shared" si="2"/>
        <v>3684</v>
      </c>
      <c r="H57">
        <f t="shared" si="3"/>
        <v>3825</v>
      </c>
    </row>
    <row r="58" spans="1:8" x14ac:dyDescent="0.25">
      <c r="A58" s="13">
        <v>45987</v>
      </c>
      <c r="B58" s="14">
        <f t="shared" si="0"/>
        <v>3</v>
      </c>
      <c r="C58" s="7">
        <v>3089</v>
      </c>
      <c r="D58" s="8">
        <v>3898</v>
      </c>
      <c r="E58" s="9">
        <v>3737</v>
      </c>
      <c r="F58">
        <f t="shared" si="1"/>
        <v>3089</v>
      </c>
      <c r="G58">
        <f t="shared" si="2"/>
        <v>3898</v>
      </c>
      <c r="H58">
        <f t="shared" si="3"/>
        <v>3737</v>
      </c>
    </row>
    <row r="59" spans="1:8" x14ac:dyDescent="0.25">
      <c r="A59" s="13">
        <v>45988</v>
      </c>
      <c r="B59" s="14">
        <f t="shared" si="0"/>
        <v>4</v>
      </c>
      <c r="C59" s="10">
        <v>4408</v>
      </c>
      <c r="D59" s="11">
        <v>2923</v>
      </c>
      <c r="E59" s="12">
        <v>4377</v>
      </c>
      <c r="F59">
        <f t="shared" si="1"/>
        <v>4408</v>
      </c>
      <c r="G59">
        <f t="shared" si="2"/>
        <v>2923</v>
      </c>
      <c r="H59">
        <f t="shared" si="3"/>
        <v>4377</v>
      </c>
    </row>
    <row r="60" spans="1:8" x14ac:dyDescent="0.25">
      <c r="A60" s="13">
        <v>45989</v>
      </c>
      <c r="B60" s="14">
        <f t="shared" si="0"/>
        <v>5</v>
      </c>
      <c r="C60" s="7">
        <v>3732</v>
      </c>
      <c r="D60" s="8">
        <v>2542</v>
      </c>
      <c r="E60" s="9">
        <v>4322</v>
      </c>
      <c r="F60">
        <f t="shared" si="1"/>
        <v>3732</v>
      </c>
      <c r="G60">
        <f t="shared" si="2"/>
        <v>2542</v>
      </c>
      <c r="H60">
        <f t="shared" si="3"/>
        <v>4322</v>
      </c>
    </row>
    <row r="61" spans="1:8" x14ac:dyDescent="0.25">
      <c r="A61" s="13">
        <v>45990</v>
      </c>
      <c r="B61" s="14">
        <f t="shared" si="0"/>
        <v>6</v>
      </c>
      <c r="C61" s="10">
        <v>4706</v>
      </c>
      <c r="D61" s="11">
        <v>3760</v>
      </c>
      <c r="E61" s="12">
        <v>4447</v>
      </c>
      <c r="F61">
        <f t="shared" si="1"/>
        <v>0</v>
      </c>
      <c r="G61">
        <f t="shared" si="2"/>
        <v>0</v>
      </c>
      <c r="H61">
        <f t="shared" si="3"/>
        <v>0</v>
      </c>
    </row>
    <row r="62" spans="1:8" x14ac:dyDescent="0.25">
      <c r="A62" s="13">
        <v>45991</v>
      </c>
      <c r="B62" s="14">
        <f t="shared" si="0"/>
        <v>7</v>
      </c>
      <c r="C62" s="7">
        <v>3905</v>
      </c>
      <c r="D62" s="8">
        <v>4048</v>
      </c>
      <c r="E62" s="9">
        <v>3656</v>
      </c>
      <c r="F62">
        <f t="shared" si="1"/>
        <v>0</v>
      </c>
      <c r="G62">
        <f t="shared" si="2"/>
        <v>0</v>
      </c>
      <c r="H62">
        <f t="shared" si="3"/>
        <v>0</v>
      </c>
    </row>
    <row r="63" spans="1:8" x14ac:dyDescent="0.25">
      <c r="A63" s="13">
        <v>45992</v>
      </c>
      <c r="B63" s="14">
        <f t="shared" si="0"/>
        <v>1</v>
      </c>
      <c r="C63" s="10">
        <v>4369</v>
      </c>
      <c r="D63" s="11">
        <v>4468</v>
      </c>
      <c r="E63" s="12">
        <v>3578</v>
      </c>
      <c r="F63">
        <f t="shared" si="1"/>
        <v>4369</v>
      </c>
      <c r="G63">
        <f t="shared" si="2"/>
        <v>4468</v>
      </c>
      <c r="H63">
        <f t="shared" si="3"/>
        <v>3578</v>
      </c>
    </row>
    <row r="64" spans="1:8" x14ac:dyDescent="0.25">
      <c r="A64" s="13">
        <v>45993</v>
      </c>
      <c r="B64" s="14">
        <f t="shared" si="0"/>
        <v>2</v>
      </c>
      <c r="C64" s="7">
        <v>4186</v>
      </c>
      <c r="D64" s="8">
        <v>3808</v>
      </c>
      <c r="E64" s="9">
        <v>4065</v>
      </c>
      <c r="F64">
        <f t="shared" si="1"/>
        <v>4186</v>
      </c>
      <c r="G64">
        <f t="shared" si="2"/>
        <v>3808</v>
      </c>
      <c r="H64">
        <f t="shared" si="3"/>
        <v>4065</v>
      </c>
    </row>
    <row r="65" spans="1:8" x14ac:dyDescent="0.25">
      <c r="A65" s="13">
        <v>45994</v>
      </c>
      <c r="B65" s="14">
        <f t="shared" si="0"/>
        <v>3</v>
      </c>
      <c r="C65" s="10">
        <v>3780</v>
      </c>
      <c r="D65" s="11">
        <v>3894</v>
      </c>
      <c r="E65" s="12">
        <v>4341</v>
      </c>
      <c r="F65">
        <f t="shared" si="1"/>
        <v>3780</v>
      </c>
      <c r="G65">
        <f t="shared" si="2"/>
        <v>3894</v>
      </c>
      <c r="H65">
        <f t="shared" si="3"/>
        <v>4341</v>
      </c>
    </row>
    <row r="66" spans="1:8" x14ac:dyDescent="0.25">
      <c r="A66" s="13">
        <v>45995</v>
      </c>
      <c r="B66" s="14">
        <f t="shared" si="0"/>
        <v>4</v>
      </c>
      <c r="C66" s="7">
        <v>3859</v>
      </c>
      <c r="D66" s="8">
        <v>3335</v>
      </c>
      <c r="E66" s="9">
        <v>4343</v>
      </c>
      <c r="F66">
        <f t="shared" si="1"/>
        <v>3859</v>
      </c>
      <c r="G66">
        <f t="shared" si="2"/>
        <v>3335</v>
      </c>
      <c r="H66">
        <f t="shared" si="3"/>
        <v>4343</v>
      </c>
    </row>
    <row r="67" spans="1:8" x14ac:dyDescent="0.25">
      <c r="A67" s="13">
        <v>45996</v>
      </c>
      <c r="B67" s="14">
        <f t="shared" ref="B67:B130" si="4">WEEKDAY(A67,2)</f>
        <v>5</v>
      </c>
      <c r="C67" s="10">
        <v>4842</v>
      </c>
      <c r="D67" s="11">
        <v>4325</v>
      </c>
      <c r="E67" s="12">
        <v>4284</v>
      </c>
      <c r="F67">
        <f t="shared" ref="F67:F130" si="5">IF(OR(B67=6,B67=7),0,C67)</f>
        <v>4842</v>
      </c>
      <c r="G67">
        <f t="shared" ref="G67:G130" si="6">IF(OR(B67=6,B67=7),0,D67)</f>
        <v>4325</v>
      </c>
      <c r="H67">
        <f t="shared" ref="H67:H130" si="7">IF(OR(B67=6,B67=7),0,E67)</f>
        <v>4284</v>
      </c>
    </row>
    <row r="68" spans="1:8" x14ac:dyDescent="0.25">
      <c r="A68" s="13">
        <v>45997</v>
      </c>
      <c r="B68" s="14">
        <f t="shared" si="4"/>
        <v>6</v>
      </c>
      <c r="C68" s="7">
        <v>4461</v>
      </c>
      <c r="D68" s="8">
        <v>3535</v>
      </c>
      <c r="E68" s="9">
        <v>4224</v>
      </c>
      <c r="F68">
        <f t="shared" si="5"/>
        <v>0</v>
      </c>
      <c r="G68">
        <f t="shared" si="6"/>
        <v>0</v>
      </c>
      <c r="H68">
        <f t="shared" si="7"/>
        <v>0</v>
      </c>
    </row>
    <row r="69" spans="1:8" x14ac:dyDescent="0.25">
      <c r="A69" s="13">
        <v>45998</v>
      </c>
      <c r="B69" s="14">
        <f t="shared" si="4"/>
        <v>7</v>
      </c>
      <c r="C69" s="10">
        <v>3676</v>
      </c>
      <c r="D69" s="11">
        <v>3549</v>
      </c>
      <c r="E69" s="12">
        <v>4469</v>
      </c>
      <c r="F69">
        <f t="shared" si="5"/>
        <v>0</v>
      </c>
      <c r="G69">
        <f t="shared" si="6"/>
        <v>0</v>
      </c>
      <c r="H69">
        <f t="shared" si="7"/>
        <v>0</v>
      </c>
    </row>
    <row r="70" spans="1:8" x14ac:dyDescent="0.25">
      <c r="A70" s="13">
        <v>45999</v>
      </c>
      <c r="B70" s="14">
        <f t="shared" si="4"/>
        <v>1</v>
      </c>
      <c r="C70" s="7">
        <v>4173</v>
      </c>
      <c r="D70" s="8">
        <v>3281</v>
      </c>
      <c r="E70" s="9">
        <v>4365</v>
      </c>
      <c r="F70">
        <f t="shared" si="5"/>
        <v>4173</v>
      </c>
      <c r="G70">
        <f t="shared" si="6"/>
        <v>3281</v>
      </c>
      <c r="H70">
        <f t="shared" si="7"/>
        <v>4365</v>
      </c>
    </row>
    <row r="71" spans="1:8" x14ac:dyDescent="0.25">
      <c r="A71" s="13">
        <v>46000</v>
      </c>
      <c r="B71" s="14">
        <f t="shared" si="4"/>
        <v>2</v>
      </c>
      <c r="C71" s="10">
        <v>3982</v>
      </c>
      <c r="D71" s="11">
        <v>3500</v>
      </c>
      <c r="E71" s="12">
        <v>4379</v>
      </c>
      <c r="F71">
        <f t="shared" si="5"/>
        <v>3982</v>
      </c>
      <c r="G71">
        <f t="shared" si="6"/>
        <v>3500</v>
      </c>
      <c r="H71">
        <f t="shared" si="7"/>
        <v>4379</v>
      </c>
    </row>
    <row r="72" spans="1:8" x14ac:dyDescent="0.25">
      <c r="A72" s="13">
        <v>46001</v>
      </c>
      <c r="B72" s="14">
        <f t="shared" si="4"/>
        <v>3</v>
      </c>
      <c r="C72" s="7">
        <v>4507</v>
      </c>
      <c r="D72" s="8">
        <v>4263</v>
      </c>
      <c r="E72" s="9">
        <v>4439</v>
      </c>
      <c r="F72">
        <f t="shared" si="5"/>
        <v>4507</v>
      </c>
      <c r="G72">
        <f t="shared" si="6"/>
        <v>4263</v>
      </c>
      <c r="H72">
        <f t="shared" si="7"/>
        <v>4439</v>
      </c>
    </row>
    <row r="73" spans="1:8" x14ac:dyDescent="0.25">
      <c r="A73" s="13">
        <v>46002</v>
      </c>
      <c r="B73" s="14">
        <f t="shared" si="4"/>
        <v>4</v>
      </c>
      <c r="C73" s="10">
        <v>3574</v>
      </c>
      <c r="D73" s="11">
        <v>2503</v>
      </c>
      <c r="E73" s="12">
        <v>3886</v>
      </c>
      <c r="F73">
        <f t="shared" si="5"/>
        <v>3574</v>
      </c>
      <c r="G73">
        <f t="shared" si="6"/>
        <v>2503</v>
      </c>
      <c r="H73">
        <f t="shared" si="7"/>
        <v>3886</v>
      </c>
    </row>
    <row r="74" spans="1:8" x14ac:dyDescent="0.25">
      <c r="A74" s="13">
        <v>46003</v>
      </c>
      <c r="B74" s="14">
        <f t="shared" si="4"/>
        <v>5</v>
      </c>
      <c r="C74" s="7">
        <v>3514</v>
      </c>
      <c r="D74" s="8">
        <v>3589</v>
      </c>
      <c r="E74" s="9">
        <v>4163</v>
      </c>
      <c r="F74">
        <f t="shared" si="5"/>
        <v>3514</v>
      </c>
      <c r="G74">
        <f t="shared" si="6"/>
        <v>3589</v>
      </c>
      <c r="H74">
        <f t="shared" si="7"/>
        <v>4163</v>
      </c>
    </row>
    <row r="75" spans="1:8" x14ac:dyDescent="0.25">
      <c r="A75" s="13">
        <v>46004</v>
      </c>
      <c r="B75" s="14">
        <f t="shared" si="4"/>
        <v>6</v>
      </c>
      <c r="C75" s="10">
        <v>3825</v>
      </c>
      <c r="D75" s="11">
        <v>3615</v>
      </c>
      <c r="E75" s="12">
        <v>4275</v>
      </c>
      <c r="F75">
        <f t="shared" si="5"/>
        <v>0</v>
      </c>
      <c r="G75">
        <f t="shared" si="6"/>
        <v>0</v>
      </c>
      <c r="H75">
        <f t="shared" si="7"/>
        <v>0</v>
      </c>
    </row>
    <row r="76" spans="1:8" x14ac:dyDescent="0.25">
      <c r="A76" s="13">
        <v>46005</v>
      </c>
      <c r="B76" s="14">
        <f t="shared" si="4"/>
        <v>7</v>
      </c>
      <c r="C76" s="7">
        <v>3839</v>
      </c>
      <c r="D76" s="8">
        <v>3962</v>
      </c>
      <c r="E76" s="9">
        <v>4207</v>
      </c>
      <c r="F76">
        <f t="shared" si="5"/>
        <v>0</v>
      </c>
      <c r="G76">
        <f t="shared" si="6"/>
        <v>0</v>
      </c>
      <c r="H76">
        <f t="shared" si="7"/>
        <v>0</v>
      </c>
    </row>
    <row r="77" spans="1:8" x14ac:dyDescent="0.25">
      <c r="A77" s="13">
        <v>46006</v>
      </c>
      <c r="B77" s="14">
        <f t="shared" si="4"/>
        <v>1</v>
      </c>
      <c r="C77" s="10">
        <v>4686</v>
      </c>
      <c r="D77" s="11">
        <v>2918</v>
      </c>
      <c r="E77" s="12">
        <v>3885</v>
      </c>
      <c r="F77">
        <f t="shared" si="5"/>
        <v>4686</v>
      </c>
      <c r="G77">
        <f t="shared" si="6"/>
        <v>2918</v>
      </c>
      <c r="H77">
        <f t="shared" si="7"/>
        <v>3885</v>
      </c>
    </row>
    <row r="78" spans="1:8" x14ac:dyDescent="0.25">
      <c r="A78" s="13">
        <v>46007</v>
      </c>
      <c r="B78" s="14">
        <f t="shared" si="4"/>
        <v>2</v>
      </c>
      <c r="C78" s="7">
        <v>3155</v>
      </c>
      <c r="D78" s="8">
        <v>4732</v>
      </c>
      <c r="E78" s="9">
        <v>4066</v>
      </c>
      <c r="F78">
        <f t="shared" si="5"/>
        <v>3155</v>
      </c>
      <c r="G78">
        <f t="shared" si="6"/>
        <v>4732</v>
      </c>
      <c r="H78">
        <f t="shared" si="7"/>
        <v>4066</v>
      </c>
    </row>
    <row r="79" spans="1:8" x14ac:dyDescent="0.25">
      <c r="A79" s="13">
        <v>46008</v>
      </c>
      <c r="B79" s="14">
        <f t="shared" si="4"/>
        <v>3</v>
      </c>
      <c r="C79" s="10">
        <v>3375</v>
      </c>
      <c r="D79" s="11">
        <v>3272</v>
      </c>
      <c r="E79" s="12">
        <v>4355</v>
      </c>
      <c r="F79">
        <f t="shared" si="5"/>
        <v>3375</v>
      </c>
      <c r="G79">
        <f t="shared" si="6"/>
        <v>3272</v>
      </c>
      <c r="H79">
        <f t="shared" si="7"/>
        <v>4355</v>
      </c>
    </row>
    <row r="80" spans="1:8" x14ac:dyDescent="0.25">
      <c r="A80" s="13">
        <v>46009</v>
      </c>
      <c r="B80" s="14">
        <f t="shared" si="4"/>
        <v>4</v>
      </c>
      <c r="C80" s="7">
        <v>4396</v>
      </c>
      <c r="D80" s="8">
        <v>2882</v>
      </c>
      <c r="E80" s="9">
        <v>3646</v>
      </c>
      <c r="F80">
        <f t="shared" si="5"/>
        <v>4396</v>
      </c>
      <c r="G80">
        <f t="shared" si="6"/>
        <v>2882</v>
      </c>
      <c r="H80">
        <f t="shared" si="7"/>
        <v>3646</v>
      </c>
    </row>
    <row r="81" spans="1:8" x14ac:dyDescent="0.25">
      <c r="A81" s="13">
        <v>46010</v>
      </c>
      <c r="B81" s="14">
        <f t="shared" si="4"/>
        <v>5</v>
      </c>
      <c r="C81" s="10">
        <v>4371</v>
      </c>
      <c r="D81" s="11">
        <v>3799</v>
      </c>
      <c r="E81" s="12">
        <v>3529</v>
      </c>
      <c r="F81">
        <f t="shared" si="5"/>
        <v>4371</v>
      </c>
      <c r="G81">
        <f t="shared" si="6"/>
        <v>3799</v>
      </c>
      <c r="H81">
        <f t="shared" si="7"/>
        <v>3529</v>
      </c>
    </row>
    <row r="82" spans="1:8" x14ac:dyDescent="0.25">
      <c r="A82" s="13">
        <v>46011</v>
      </c>
      <c r="B82" s="14">
        <f t="shared" si="4"/>
        <v>6</v>
      </c>
      <c r="C82" s="7">
        <v>3493</v>
      </c>
      <c r="D82" s="8">
        <v>4308</v>
      </c>
      <c r="E82" s="9">
        <v>3677</v>
      </c>
      <c r="F82">
        <f t="shared" si="5"/>
        <v>0</v>
      </c>
      <c r="G82">
        <f t="shared" si="6"/>
        <v>0</v>
      </c>
      <c r="H82">
        <f t="shared" si="7"/>
        <v>0</v>
      </c>
    </row>
    <row r="83" spans="1:8" x14ac:dyDescent="0.25">
      <c r="A83" s="13">
        <v>46012</v>
      </c>
      <c r="B83" s="14">
        <f t="shared" si="4"/>
        <v>7</v>
      </c>
      <c r="C83" s="10">
        <v>3809</v>
      </c>
      <c r="D83" s="11">
        <v>4305</v>
      </c>
      <c r="E83" s="12">
        <v>3855</v>
      </c>
      <c r="F83">
        <f t="shared" si="5"/>
        <v>0</v>
      </c>
      <c r="G83">
        <f t="shared" si="6"/>
        <v>0</v>
      </c>
      <c r="H83">
        <f t="shared" si="7"/>
        <v>0</v>
      </c>
    </row>
    <row r="84" spans="1:8" x14ac:dyDescent="0.25">
      <c r="A84" s="13">
        <v>46013</v>
      </c>
      <c r="B84" s="14">
        <f t="shared" si="4"/>
        <v>1</v>
      </c>
      <c r="C84" s="7">
        <v>3783</v>
      </c>
      <c r="D84" s="8">
        <v>3070</v>
      </c>
      <c r="E84" s="9">
        <v>3906</v>
      </c>
      <c r="F84">
        <f t="shared" si="5"/>
        <v>3783</v>
      </c>
      <c r="G84">
        <f t="shared" si="6"/>
        <v>3070</v>
      </c>
      <c r="H84">
        <f t="shared" si="7"/>
        <v>3906</v>
      </c>
    </row>
    <row r="85" spans="1:8" x14ac:dyDescent="0.25">
      <c r="A85" s="13">
        <v>46014</v>
      </c>
      <c r="B85" s="14">
        <f t="shared" si="4"/>
        <v>2</v>
      </c>
      <c r="C85" s="10">
        <v>3651</v>
      </c>
      <c r="D85" s="11">
        <v>3648</v>
      </c>
      <c r="E85" s="12">
        <v>4369</v>
      </c>
      <c r="F85">
        <f t="shared" si="5"/>
        <v>3651</v>
      </c>
      <c r="G85">
        <f t="shared" si="6"/>
        <v>3648</v>
      </c>
      <c r="H85">
        <f t="shared" si="7"/>
        <v>4369</v>
      </c>
    </row>
    <row r="86" spans="1:8" x14ac:dyDescent="0.25">
      <c r="A86" s="13">
        <v>46015</v>
      </c>
      <c r="B86" s="14">
        <f t="shared" si="4"/>
        <v>3</v>
      </c>
      <c r="C86" s="7">
        <v>4785</v>
      </c>
      <c r="D86" s="8">
        <v>3608</v>
      </c>
      <c r="E86" s="9">
        <v>3660</v>
      </c>
      <c r="F86">
        <f t="shared" si="5"/>
        <v>4785</v>
      </c>
      <c r="G86">
        <f t="shared" si="6"/>
        <v>3608</v>
      </c>
      <c r="H86">
        <f t="shared" si="7"/>
        <v>3660</v>
      </c>
    </row>
    <row r="87" spans="1:8" x14ac:dyDescent="0.25">
      <c r="A87" s="13">
        <v>46016</v>
      </c>
      <c r="B87" s="14">
        <f t="shared" si="4"/>
        <v>4</v>
      </c>
      <c r="C87" s="10">
        <v>4756</v>
      </c>
      <c r="D87" s="11">
        <v>2907</v>
      </c>
      <c r="E87" s="12">
        <v>3579</v>
      </c>
      <c r="F87">
        <f t="shared" si="5"/>
        <v>4756</v>
      </c>
      <c r="G87">
        <f t="shared" si="6"/>
        <v>2907</v>
      </c>
      <c r="H87">
        <f t="shared" si="7"/>
        <v>3579</v>
      </c>
    </row>
    <row r="88" spans="1:8" x14ac:dyDescent="0.25">
      <c r="A88" s="13">
        <v>46017</v>
      </c>
      <c r="B88" s="14">
        <f t="shared" si="4"/>
        <v>5</v>
      </c>
      <c r="C88" s="7">
        <v>3615</v>
      </c>
      <c r="D88" s="8">
        <v>3854</v>
      </c>
      <c r="E88" s="9">
        <v>3713</v>
      </c>
      <c r="F88">
        <f t="shared" si="5"/>
        <v>3615</v>
      </c>
      <c r="G88">
        <f t="shared" si="6"/>
        <v>3854</v>
      </c>
      <c r="H88">
        <f t="shared" si="7"/>
        <v>3713</v>
      </c>
    </row>
    <row r="89" spans="1:8" x14ac:dyDescent="0.25">
      <c r="A89" s="13">
        <v>46018</v>
      </c>
      <c r="B89" s="14">
        <f t="shared" si="4"/>
        <v>6</v>
      </c>
      <c r="C89" s="10">
        <v>4570</v>
      </c>
      <c r="D89" s="11">
        <v>2857</v>
      </c>
      <c r="E89" s="12">
        <v>3821</v>
      </c>
      <c r="F89">
        <f t="shared" si="5"/>
        <v>0</v>
      </c>
      <c r="G89">
        <f t="shared" si="6"/>
        <v>0</v>
      </c>
      <c r="H89">
        <f t="shared" si="7"/>
        <v>0</v>
      </c>
    </row>
    <row r="90" spans="1:8" x14ac:dyDescent="0.25">
      <c r="A90" s="13">
        <v>46019</v>
      </c>
      <c r="B90" s="14">
        <f t="shared" si="4"/>
        <v>7</v>
      </c>
      <c r="C90" s="7">
        <v>3598</v>
      </c>
      <c r="D90" s="8">
        <v>3805</v>
      </c>
      <c r="E90" s="9">
        <v>3769</v>
      </c>
      <c r="F90">
        <f t="shared" si="5"/>
        <v>0</v>
      </c>
      <c r="G90">
        <f t="shared" si="6"/>
        <v>0</v>
      </c>
      <c r="H90">
        <f t="shared" si="7"/>
        <v>0</v>
      </c>
    </row>
    <row r="91" spans="1:8" x14ac:dyDescent="0.25">
      <c r="A91" s="13">
        <v>46020</v>
      </c>
      <c r="B91" s="14">
        <f t="shared" si="4"/>
        <v>1</v>
      </c>
      <c r="C91" s="10">
        <v>4365</v>
      </c>
      <c r="D91" s="11">
        <v>3553</v>
      </c>
      <c r="E91" s="12">
        <v>3861</v>
      </c>
      <c r="F91">
        <f t="shared" si="5"/>
        <v>4365</v>
      </c>
      <c r="G91">
        <f t="shared" si="6"/>
        <v>3553</v>
      </c>
      <c r="H91">
        <f t="shared" si="7"/>
        <v>3861</v>
      </c>
    </row>
    <row r="92" spans="1:8" x14ac:dyDescent="0.25">
      <c r="A92" s="13">
        <v>46021</v>
      </c>
      <c r="B92" s="14">
        <f t="shared" si="4"/>
        <v>2</v>
      </c>
      <c r="C92" s="7">
        <v>4998</v>
      </c>
      <c r="D92" s="8">
        <v>3365</v>
      </c>
      <c r="E92" s="9">
        <v>3839</v>
      </c>
      <c r="F92">
        <f t="shared" si="5"/>
        <v>4998</v>
      </c>
      <c r="G92">
        <f t="shared" si="6"/>
        <v>3365</v>
      </c>
      <c r="H92">
        <f t="shared" si="7"/>
        <v>3839</v>
      </c>
    </row>
    <row r="93" spans="1:8" x14ac:dyDescent="0.25">
      <c r="A93" s="13">
        <v>46022</v>
      </c>
      <c r="B93" s="14">
        <f t="shared" si="4"/>
        <v>3</v>
      </c>
      <c r="C93" s="10">
        <v>3824</v>
      </c>
      <c r="D93" s="11">
        <v>3612</v>
      </c>
      <c r="E93" s="12">
        <v>3928</v>
      </c>
      <c r="F93">
        <f t="shared" si="5"/>
        <v>3824</v>
      </c>
      <c r="G93">
        <f t="shared" si="6"/>
        <v>3612</v>
      </c>
      <c r="H93">
        <f t="shared" si="7"/>
        <v>3928</v>
      </c>
    </row>
    <row r="94" spans="1:8" x14ac:dyDescent="0.25">
      <c r="A94" s="13">
        <v>46023</v>
      </c>
      <c r="B94" s="14">
        <f t="shared" si="4"/>
        <v>4</v>
      </c>
      <c r="C94" s="7">
        <v>3168</v>
      </c>
      <c r="D94" s="8">
        <v>4708</v>
      </c>
      <c r="E94" s="9">
        <v>4087</v>
      </c>
      <c r="F94">
        <f t="shared" si="5"/>
        <v>3168</v>
      </c>
      <c r="G94">
        <f t="shared" si="6"/>
        <v>4708</v>
      </c>
      <c r="H94">
        <f t="shared" si="7"/>
        <v>4087</v>
      </c>
    </row>
    <row r="95" spans="1:8" x14ac:dyDescent="0.25">
      <c r="A95" s="13">
        <v>46024</v>
      </c>
      <c r="B95" s="14">
        <f t="shared" si="4"/>
        <v>5</v>
      </c>
      <c r="C95" s="10">
        <v>4042</v>
      </c>
      <c r="D95" s="11">
        <v>4551</v>
      </c>
      <c r="E95" s="12">
        <v>3868</v>
      </c>
      <c r="F95">
        <f t="shared" si="5"/>
        <v>4042</v>
      </c>
      <c r="G95">
        <f t="shared" si="6"/>
        <v>4551</v>
      </c>
      <c r="H95">
        <f t="shared" si="7"/>
        <v>3868</v>
      </c>
    </row>
    <row r="96" spans="1:8" x14ac:dyDescent="0.25">
      <c r="A96" s="13">
        <v>46025</v>
      </c>
      <c r="B96" s="14">
        <f t="shared" si="4"/>
        <v>6</v>
      </c>
      <c r="C96" s="7">
        <v>4346</v>
      </c>
      <c r="D96" s="8">
        <v>4149</v>
      </c>
      <c r="E96" s="9">
        <v>3664</v>
      </c>
      <c r="F96">
        <f t="shared" si="5"/>
        <v>0</v>
      </c>
      <c r="G96">
        <f t="shared" si="6"/>
        <v>0</v>
      </c>
      <c r="H96">
        <f t="shared" si="7"/>
        <v>0</v>
      </c>
    </row>
    <row r="97" spans="1:8" x14ac:dyDescent="0.25">
      <c r="A97" s="13">
        <v>46026</v>
      </c>
      <c r="B97" s="14">
        <f t="shared" si="4"/>
        <v>7</v>
      </c>
      <c r="C97" s="10">
        <v>4903</v>
      </c>
      <c r="D97" s="11">
        <v>4370</v>
      </c>
      <c r="E97" s="12">
        <v>4421</v>
      </c>
      <c r="F97">
        <f t="shared" si="5"/>
        <v>0</v>
      </c>
      <c r="G97">
        <f t="shared" si="6"/>
        <v>0</v>
      </c>
      <c r="H97">
        <f t="shared" si="7"/>
        <v>0</v>
      </c>
    </row>
    <row r="98" spans="1:8" x14ac:dyDescent="0.25">
      <c r="A98" s="13">
        <v>46027</v>
      </c>
      <c r="B98" s="14">
        <f t="shared" si="4"/>
        <v>1</v>
      </c>
      <c r="C98" s="7">
        <v>4202</v>
      </c>
      <c r="D98" s="8">
        <v>3920</v>
      </c>
      <c r="E98" s="9">
        <v>4413</v>
      </c>
      <c r="F98">
        <f t="shared" si="5"/>
        <v>4202</v>
      </c>
      <c r="G98">
        <f t="shared" si="6"/>
        <v>3920</v>
      </c>
      <c r="H98">
        <f t="shared" si="7"/>
        <v>4413</v>
      </c>
    </row>
    <row r="99" spans="1:8" x14ac:dyDescent="0.25">
      <c r="A99" s="13">
        <v>46028</v>
      </c>
      <c r="B99" s="14">
        <f t="shared" si="4"/>
        <v>2</v>
      </c>
      <c r="C99" s="10">
        <v>3594</v>
      </c>
      <c r="D99" s="11">
        <v>4538</v>
      </c>
      <c r="E99" s="12">
        <v>3722</v>
      </c>
      <c r="F99">
        <f t="shared" si="5"/>
        <v>3594</v>
      </c>
      <c r="G99">
        <f t="shared" si="6"/>
        <v>4538</v>
      </c>
      <c r="H99">
        <f t="shared" si="7"/>
        <v>3722</v>
      </c>
    </row>
    <row r="100" spans="1:8" x14ac:dyDescent="0.25">
      <c r="A100" s="13">
        <v>46029</v>
      </c>
      <c r="B100" s="14">
        <f t="shared" si="4"/>
        <v>3</v>
      </c>
      <c r="C100" s="7">
        <v>4837</v>
      </c>
      <c r="D100" s="8">
        <v>3455</v>
      </c>
      <c r="E100" s="9">
        <v>3595</v>
      </c>
      <c r="F100">
        <f t="shared" si="5"/>
        <v>4837</v>
      </c>
      <c r="G100">
        <f t="shared" si="6"/>
        <v>3455</v>
      </c>
      <c r="H100">
        <f t="shared" si="7"/>
        <v>3595</v>
      </c>
    </row>
    <row r="101" spans="1:8" x14ac:dyDescent="0.25">
      <c r="A101" s="13">
        <v>46030</v>
      </c>
      <c r="B101" s="14">
        <f t="shared" si="4"/>
        <v>4</v>
      </c>
      <c r="C101" s="10">
        <v>3528</v>
      </c>
      <c r="D101" s="11">
        <v>3524</v>
      </c>
      <c r="E101" s="12">
        <v>3768</v>
      </c>
      <c r="F101">
        <f t="shared" si="5"/>
        <v>3528</v>
      </c>
      <c r="G101">
        <f t="shared" si="6"/>
        <v>3524</v>
      </c>
      <c r="H101">
        <f t="shared" si="7"/>
        <v>3768</v>
      </c>
    </row>
    <row r="102" spans="1:8" x14ac:dyDescent="0.25">
      <c r="A102" s="13">
        <v>46031</v>
      </c>
      <c r="B102" s="14">
        <f t="shared" si="4"/>
        <v>5</v>
      </c>
      <c r="C102" s="7">
        <v>4869</v>
      </c>
      <c r="D102" s="8">
        <v>2564</v>
      </c>
      <c r="E102" s="9">
        <v>3669</v>
      </c>
      <c r="F102">
        <f t="shared" si="5"/>
        <v>4869</v>
      </c>
      <c r="G102">
        <f t="shared" si="6"/>
        <v>2564</v>
      </c>
      <c r="H102">
        <f t="shared" si="7"/>
        <v>3669</v>
      </c>
    </row>
    <row r="103" spans="1:8" x14ac:dyDescent="0.25">
      <c r="A103" s="13">
        <v>46032</v>
      </c>
      <c r="B103" s="14">
        <f t="shared" si="4"/>
        <v>6</v>
      </c>
      <c r="C103" s="10">
        <v>4270</v>
      </c>
      <c r="D103" s="11">
        <v>3659</v>
      </c>
      <c r="E103" s="12">
        <v>3829</v>
      </c>
      <c r="F103">
        <f t="shared" si="5"/>
        <v>0</v>
      </c>
      <c r="G103">
        <f t="shared" si="6"/>
        <v>0</v>
      </c>
      <c r="H103">
        <f t="shared" si="7"/>
        <v>0</v>
      </c>
    </row>
    <row r="104" spans="1:8" x14ac:dyDescent="0.25">
      <c r="A104" s="13">
        <v>46033</v>
      </c>
      <c r="B104" s="14">
        <f t="shared" si="4"/>
        <v>7</v>
      </c>
      <c r="C104" s="7">
        <v>4266</v>
      </c>
      <c r="D104" s="8">
        <v>3961</v>
      </c>
      <c r="E104" s="9">
        <v>4134</v>
      </c>
      <c r="F104">
        <f t="shared" si="5"/>
        <v>0</v>
      </c>
      <c r="G104">
        <f t="shared" si="6"/>
        <v>0</v>
      </c>
      <c r="H104">
        <f t="shared" si="7"/>
        <v>0</v>
      </c>
    </row>
    <row r="105" spans="1:8" x14ac:dyDescent="0.25">
      <c r="A105" s="13">
        <v>46034</v>
      </c>
      <c r="B105" s="14">
        <f t="shared" si="4"/>
        <v>1</v>
      </c>
      <c r="C105" s="10">
        <v>4714</v>
      </c>
      <c r="D105" s="11">
        <v>3735</v>
      </c>
      <c r="E105" s="12">
        <v>3609</v>
      </c>
      <c r="F105">
        <f t="shared" si="5"/>
        <v>4714</v>
      </c>
      <c r="G105">
        <f t="shared" si="6"/>
        <v>3735</v>
      </c>
      <c r="H105">
        <f t="shared" si="7"/>
        <v>3609</v>
      </c>
    </row>
    <row r="106" spans="1:8" x14ac:dyDescent="0.25">
      <c r="A106" s="13">
        <v>46035</v>
      </c>
      <c r="B106" s="14">
        <f t="shared" si="4"/>
        <v>2</v>
      </c>
      <c r="C106" s="7">
        <v>3953</v>
      </c>
      <c r="D106" s="8">
        <v>4143</v>
      </c>
      <c r="E106" s="9">
        <v>3971</v>
      </c>
      <c r="F106">
        <f t="shared" si="5"/>
        <v>3953</v>
      </c>
      <c r="G106">
        <f t="shared" si="6"/>
        <v>4143</v>
      </c>
      <c r="H106">
        <f t="shared" si="7"/>
        <v>3971</v>
      </c>
    </row>
    <row r="107" spans="1:8" x14ac:dyDescent="0.25">
      <c r="A107" s="13">
        <v>46036</v>
      </c>
      <c r="B107" s="14">
        <f t="shared" si="4"/>
        <v>3</v>
      </c>
      <c r="C107" s="10">
        <v>3659</v>
      </c>
      <c r="D107" s="11">
        <v>4604</v>
      </c>
      <c r="E107" s="12">
        <v>3573</v>
      </c>
      <c r="F107">
        <f t="shared" si="5"/>
        <v>3659</v>
      </c>
      <c r="G107">
        <f t="shared" si="6"/>
        <v>4604</v>
      </c>
      <c r="H107">
        <f t="shared" si="7"/>
        <v>3573</v>
      </c>
    </row>
    <row r="108" spans="1:8" x14ac:dyDescent="0.25">
      <c r="A108" s="13">
        <v>46037</v>
      </c>
      <c r="B108" s="14">
        <f t="shared" si="4"/>
        <v>4</v>
      </c>
      <c r="C108" s="7">
        <v>3879</v>
      </c>
      <c r="D108" s="8">
        <v>4415</v>
      </c>
      <c r="E108" s="9">
        <v>4315</v>
      </c>
      <c r="F108">
        <f t="shared" si="5"/>
        <v>3879</v>
      </c>
      <c r="G108">
        <f t="shared" si="6"/>
        <v>4415</v>
      </c>
      <c r="H108">
        <f t="shared" si="7"/>
        <v>4315</v>
      </c>
    </row>
    <row r="109" spans="1:8" x14ac:dyDescent="0.25">
      <c r="A109" s="13">
        <v>46038</v>
      </c>
      <c r="B109" s="14">
        <f t="shared" si="4"/>
        <v>5</v>
      </c>
      <c r="C109" s="10">
        <v>3914</v>
      </c>
      <c r="D109" s="11">
        <v>3409</v>
      </c>
      <c r="E109" s="12">
        <v>4351</v>
      </c>
      <c r="F109">
        <f t="shared" si="5"/>
        <v>3914</v>
      </c>
      <c r="G109">
        <f t="shared" si="6"/>
        <v>3409</v>
      </c>
      <c r="H109">
        <f t="shared" si="7"/>
        <v>4351</v>
      </c>
    </row>
    <row r="110" spans="1:8" x14ac:dyDescent="0.25">
      <c r="A110" s="13">
        <v>46039</v>
      </c>
      <c r="B110" s="14">
        <f t="shared" si="4"/>
        <v>6</v>
      </c>
      <c r="C110" s="7">
        <v>3339</v>
      </c>
      <c r="D110" s="8">
        <v>3542</v>
      </c>
      <c r="E110" s="9">
        <v>3627</v>
      </c>
      <c r="F110">
        <f t="shared" si="5"/>
        <v>0</v>
      </c>
      <c r="G110">
        <f t="shared" si="6"/>
        <v>0</v>
      </c>
      <c r="H110">
        <f t="shared" si="7"/>
        <v>0</v>
      </c>
    </row>
    <row r="111" spans="1:8" x14ac:dyDescent="0.25">
      <c r="A111" s="13">
        <v>46040</v>
      </c>
      <c r="B111" s="14">
        <f t="shared" si="4"/>
        <v>7</v>
      </c>
      <c r="C111" s="10">
        <v>3162</v>
      </c>
      <c r="D111" s="11">
        <v>2896</v>
      </c>
      <c r="E111" s="12">
        <v>3766</v>
      </c>
      <c r="F111">
        <f t="shared" si="5"/>
        <v>0</v>
      </c>
      <c r="G111">
        <f t="shared" si="6"/>
        <v>0</v>
      </c>
      <c r="H111">
        <f t="shared" si="7"/>
        <v>0</v>
      </c>
    </row>
    <row r="112" spans="1:8" x14ac:dyDescent="0.25">
      <c r="A112" s="13">
        <v>46041</v>
      </c>
      <c r="B112" s="14">
        <f t="shared" si="4"/>
        <v>1</v>
      </c>
      <c r="C112" s="7">
        <v>3060</v>
      </c>
      <c r="D112" s="8">
        <v>4654</v>
      </c>
      <c r="E112" s="9">
        <v>4424</v>
      </c>
      <c r="F112">
        <f t="shared" si="5"/>
        <v>3060</v>
      </c>
      <c r="G112">
        <f t="shared" si="6"/>
        <v>4654</v>
      </c>
      <c r="H112">
        <f t="shared" si="7"/>
        <v>4424</v>
      </c>
    </row>
    <row r="113" spans="1:8" x14ac:dyDescent="0.25">
      <c r="A113" s="13">
        <v>46042</v>
      </c>
      <c r="B113" s="14">
        <f t="shared" si="4"/>
        <v>2</v>
      </c>
      <c r="C113" s="10">
        <v>3030</v>
      </c>
      <c r="D113" s="11">
        <v>4743</v>
      </c>
      <c r="E113" s="12">
        <v>4186</v>
      </c>
      <c r="F113">
        <f t="shared" si="5"/>
        <v>3030</v>
      </c>
      <c r="G113">
        <f t="shared" si="6"/>
        <v>4743</v>
      </c>
      <c r="H113">
        <f t="shared" si="7"/>
        <v>4186</v>
      </c>
    </row>
    <row r="114" spans="1:8" x14ac:dyDescent="0.25">
      <c r="A114" s="13">
        <v>46043</v>
      </c>
      <c r="B114" s="14">
        <f t="shared" si="4"/>
        <v>3</v>
      </c>
      <c r="C114" s="7">
        <v>4179</v>
      </c>
      <c r="D114" s="8">
        <v>3640</v>
      </c>
      <c r="E114" s="9">
        <v>3831</v>
      </c>
      <c r="F114">
        <f t="shared" si="5"/>
        <v>4179</v>
      </c>
      <c r="G114">
        <f t="shared" si="6"/>
        <v>3640</v>
      </c>
      <c r="H114">
        <f t="shared" si="7"/>
        <v>3831</v>
      </c>
    </row>
    <row r="115" spans="1:8" x14ac:dyDescent="0.25">
      <c r="A115" s="13">
        <v>46044</v>
      </c>
      <c r="B115" s="14">
        <f t="shared" si="4"/>
        <v>4</v>
      </c>
      <c r="C115" s="10">
        <v>4608</v>
      </c>
      <c r="D115" s="11">
        <v>2935</v>
      </c>
      <c r="E115" s="12">
        <v>3605</v>
      </c>
      <c r="F115">
        <f t="shared" si="5"/>
        <v>4608</v>
      </c>
      <c r="G115">
        <f t="shared" si="6"/>
        <v>2935</v>
      </c>
      <c r="H115">
        <f t="shared" si="7"/>
        <v>3605</v>
      </c>
    </row>
    <row r="116" spans="1:8" x14ac:dyDescent="0.25">
      <c r="A116" s="13">
        <v>46045</v>
      </c>
      <c r="B116" s="14">
        <f t="shared" si="4"/>
        <v>5</v>
      </c>
      <c r="C116" s="7">
        <v>3033</v>
      </c>
      <c r="D116" s="8">
        <v>3819</v>
      </c>
      <c r="E116" s="9">
        <v>3718</v>
      </c>
      <c r="F116">
        <f t="shared" si="5"/>
        <v>3033</v>
      </c>
      <c r="G116">
        <f t="shared" si="6"/>
        <v>3819</v>
      </c>
      <c r="H116">
        <f t="shared" si="7"/>
        <v>3718</v>
      </c>
    </row>
    <row r="117" spans="1:8" x14ac:dyDescent="0.25">
      <c r="A117" s="13">
        <v>46046</v>
      </c>
      <c r="B117" s="14">
        <f t="shared" si="4"/>
        <v>6</v>
      </c>
      <c r="C117" s="10">
        <v>4026</v>
      </c>
      <c r="D117" s="11">
        <v>2995</v>
      </c>
      <c r="E117" s="12">
        <v>3879</v>
      </c>
      <c r="F117">
        <f t="shared" si="5"/>
        <v>0</v>
      </c>
      <c r="G117">
        <f t="shared" si="6"/>
        <v>0</v>
      </c>
      <c r="H117">
        <f t="shared" si="7"/>
        <v>0</v>
      </c>
    </row>
    <row r="118" spans="1:8" x14ac:dyDescent="0.25">
      <c r="A118" s="13">
        <v>46047</v>
      </c>
      <c r="B118" s="14">
        <f t="shared" si="4"/>
        <v>7</v>
      </c>
      <c r="C118" s="7">
        <v>3351</v>
      </c>
      <c r="D118" s="8">
        <v>3804</v>
      </c>
      <c r="E118" s="9">
        <v>3881</v>
      </c>
      <c r="F118">
        <f t="shared" si="5"/>
        <v>0</v>
      </c>
      <c r="G118">
        <f t="shared" si="6"/>
        <v>0</v>
      </c>
      <c r="H118">
        <f t="shared" si="7"/>
        <v>0</v>
      </c>
    </row>
    <row r="119" spans="1:8" x14ac:dyDescent="0.25">
      <c r="A119" s="13">
        <v>46048</v>
      </c>
      <c r="B119" s="14">
        <f t="shared" si="4"/>
        <v>1</v>
      </c>
      <c r="C119" s="10">
        <v>4157</v>
      </c>
      <c r="D119" s="11">
        <v>4105</v>
      </c>
      <c r="E119" s="12">
        <v>3818</v>
      </c>
      <c r="F119">
        <f t="shared" si="5"/>
        <v>4157</v>
      </c>
      <c r="G119">
        <f t="shared" si="6"/>
        <v>4105</v>
      </c>
      <c r="H119">
        <f t="shared" si="7"/>
        <v>3818</v>
      </c>
    </row>
    <row r="120" spans="1:8" x14ac:dyDescent="0.25">
      <c r="A120" s="13">
        <v>46049</v>
      </c>
      <c r="B120" s="14">
        <f t="shared" si="4"/>
        <v>2</v>
      </c>
      <c r="C120" s="7">
        <v>3435</v>
      </c>
      <c r="D120" s="8">
        <v>4678</v>
      </c>
      <c r="E120" s="9">
        <v>4051</v>
      </c>
      <c r="F120">
        <f t="shared" si="5"/>
        <v>3435</v>
      </c>
      <c r="G120">
        <f t="shared" si="6"/>
        <v>4678</v>
      </c>
      <c r="H120">
        <f t="shared" si="7"/>
        <v>4051</v>
      </c>
    </row>
    <row r="121" spans="1:8" x14ac:dyDescent="0.25">
      <c r="A121" s="13">
        <v>46050</v>
      </c>
      <c r="B121" s="14">
        <f t="shared" si="4"/>
        <v>3</v>
      </c>
      <c r="C121" s="10">
        <v>3210</v>
      </c>
      <c r="D121" s="11">
        <v>2845</v>
      </c>
      <c r="E121" s="12">
        <v>4169</v>
      </c>
      <c r="F121">
        <f t="shared" si="5"/>
        <v>3210</v>
      </c>
      <c r="G121">
        <f t="shared" si="6"/>
        <v>2845</v>
      </c>
      <c r="H121">
        <f t="shared" si="7"/>
        <v>4169</v>
      </c>
    </row>
    <row r="122" spans="1:8" x14ac:dyDescent="0.25">
      <c r="A122" s="13">
        <v>46051</v>
      </c>
      <c r="B122" s="14">
        <f t="shared" si="4"/>
        <v>4</v>
      </c>
      <c r="C122" s="7">
        <v>3472</v>
      </c>
      <c r="D122" s="8">
        <v>3921</v>
      </c>
      <c r="E122" s="9">
        <v>3819</v>
      </c>
      <c r="F122">
        <f t="shared" si="5"/>
        <v>3472</v>
      </c>
      <c r="G122">
        <f t="shared" si="6"/>
        <v>3921</v>
      </c>
      <c r="H122">
        <f t="shared" si="7"/>
        <v>3819</v>
      </c>
    </row>
    <row r="123" spans="1:8" x14ac:dyDescent="0.25">
      <c r="A123" s="13">
        <v>46052</v>
      </c>
      <c r="B123" s="14">
        <f t="shared" si="4"/>
        <v>5</v>
      </c>
      <c r="C123" s="10">
        <v>4654</v>
      </c>
      <c r="D123" s="11">
        <v>4096</v>
      </c>
      <c r="E123" s="12">
        <v>3537</v>
      </c>
      <c r="F123">
        <f t="shared" si="5"/>
        <v>4654</v>
      </c>
      <c r="G123">
        <f t="shared" si="6"/>
        <v>4096</v>
      </c>
      <c r="H123">
        <f t="shared" si="7"/>
        <v>3537</v>
      </c>
    </row>
    <row r="124" spans="1:8" x14ac:dyDescent="0.25">
      <c r="A124" s="13">
        <v>46053</v>
      </c>
      <c r="B124" s="14">
        <f t="shared" si="4"/>
        <v>6</v>
      </c>
      <c r="C124" s="7">
        <v>4837</v>
      </c>
      <c r="D124" s="8">
        <v>3080</v>
      </c>
      <c r="E124" s="9">
        <v>4401</v>
      </c>
      <c r="F124">
        <f t="shared" si="5"/>
        <v>0</v>
      </c>
      <c r="G124">
        <f t="shared" si="6"/>
        <v>0</v>
      </c>
      <c r="H124">
        <f t="shared" si="7"/>
        <v>0</v>
      </c>
    </row>
    <row r="125" spans="1:8" x14ac:dyDescent="0.25">
      <c r="A125" s="13">
        <v>46054</v>
      </c>
      <c r="B125" s="14">
        <f t="shared" si="4"/>
        <v>7</v>
      </c>
      <c r="C125" s="10">
        <v>4533</v>
      </c>
      <c r="D125" s="11">
        <v>4971</v>
      </c>
      <c r="E125" s="12">
        <v>4085</v>
      </c>
      <c r="F125">
        <f t="shared" si="5"/>
        <v>0</v>
      </c>
      <c r="G125">
        <f t="shared" si="6"/>
        <v>0</v>
      </c>
      <c r="H125">
        <f t="shared" si="7"/>
        <v>0</v>
      </c>
    </row>
    <row r="126" spans="1:8" x14ac:dyDescent="0.25">
      <c r="A126" s="13">
        <v>46055</v>
      </c>
      <c r="B126" s="14">
        <f t="shared" si="4"/>
        <v>1</v>
      </c>
      <c r="C126" s="7">
        <v>4473</v>
      </c>
      <c r="D126" s="8">
        <v>3814</v>
      </c>
      <c r="E126" s="9">
        <v>3674</v>
      </c>
      <c r="F126">
        <f t="shared" si="5"/>
        <v>4473</v>
      </c>
      <c r="G126">
        <f t="shared" si="6"/>
        <v>3814</v>
      </c>
      <c r="H126">
        <f t="shared" si="7"/>
        <v>3674</v>
      </c>
    </row>
    <row r="127" spans="1:8" x14ac:dyDescent="0.25">
      <c r="A127" s="13">
        <v>46056</v>
      </c>
      <c r="B127" s="14">
        <f t="shared" si="4"/>
        <v>2</v>
      </c>
      <c r="C127" s="10">
        <v>4325</v>
      </c>
      <c r="D127" s="11">
        <v>3187</v>
      </c>
      <c r="E127" s="12">
        <v>3755</v>
      </c>
      <c r="F127">
        <f t="shared" si="5"/>
        <v>4325</v>
      </c>
      <c r="G127">
        <f t="shared" si="6"/>
        <v>3187</v>
      </c>
      <c r="H127">
        <f t="shared" si="7"/>
        <v>3755</v>
      </c>
    </row>
    <row r="128" spans="1:8" x14ac:dyDescent="0.25">
      <c r="A128" s="13">
        <v>46057</v>
      </c>
      <c r="B128" s="14">
        <f t="shared" si="4"/>
        <v>3</v>
      </c>
      <c r="C128" s="7">
        <v>4048</v>
      </c>
      <c r="D128" s="8">
        <v>2556</v>
      </c>
      <c r="E128" s="9">
        <v>4060</v>
      </c>
      <c r="F128">
        <f t="shared" si="5"/>
        <v>4048</v>
      </c>
      <c r="G128">
        <f t="shared" si="6"/>
        <v>2556</v>
      </c>
      <c r="H128">
        <f t="shared" si="7"/>
        <v>4060</v>
      </c>
    </row>
    <row r="129" spans="1:8" x14ac:dyDescent="0.25">
      <c r="A129" s="13">
        <v>46058</v>
      </c>
      <c r="B129" s="14">
        <f t="shared" si="4"/>
        <v>4</v>
      </c>
      <c r="C129" s="10">
        <v>3142</v>
      </c>
      <c r="D129" s="11">
        <v>3697</v>
      </c>
      <c r="E129" s="12">
        <v>4184</v>
      </c>
      <c r="F129">
        <f t="shared" si="5"/>
        <v>3142</v>
      </c>
      <c r="G129">
        <f t="shared" si="6"/>
        <v>3697</v>
      </c>
      <c r="H129">
        <f t="shared" si="7"/>
        <v>4184</v>
      </c>
    </row>
    <row r="130" spans="1:8" x14ac:dyDescent="0.25">
      <c r="A130" s="13">
        <v>46059</v>
      </c>
      <c r="B130" s="14">
        <f t="shared" si="4"/>
        <v>5</v>
      </c>
      <c r="C130" s="7">
        <v>4400</v>
      </c>
      <c r="D130" s="8">
        <v>4840</v>
      </c>
      <c r="E130" s="9">
        <v>3503</v>
      </c>
      <c r="F130">
        <f t="shared" si="5"/>
        <v>4400</v>
      </c>
      <c r="G130">
        <f t="shared" si="6"/>
        <v>4840</v>
      </c>
      <c r="H130">
        <f t="shared" si="7"/>
        <v>3503</v>
      </c>
    </row>
    <row r="131" spans="1:8" x14ac:dyDescent="0.25">
      <c r="A131" s="13">
        <v>46060</v>
      </c>
      <c r="B131" s="14">
        <f t="shared" ref="B131:B183" si="8">WEEKDAY(A131,2)</f>
        <v>6</v>
      </c>
      <c r="C131" s="10">
        <v>4885</v>
      </c>
      <c r="D131" s="11">
        <v>4696</v>
      </c>
      <c r="E131" s="12">
        <v>3652</v>
      </c>
      <c r="F131">
        <f t="shared" ref="F131:F183" si="9">IF(OR(B131=6,B131=7),0,C131)</f>
        <v>0</v>
      </c>
      <c r="G131">
        <f t="shared" ref="G131:G183" si="10">IF(OR(B131=6,B131=7),0,D131)</f>
        <v>0</v>
      </c>
      <c r="H131">
        <f t="shared" ref="H131:H183" si="11">IF(OR(B131=6,B131=7),0,E131)</f>
        <v>0</v>
      </c>
    </row>
    <row r="132" spans="1:8" x14ac:dyDescent="0.25">
      <c r="A132" s="13">
        <v>46061</v>
      </c>
      <c r="B132" s="14">
        <f t="shared" si="8"/>
        <v>7</v>
      </c>
      <c r="C132" s="7">
        <v>4586</v>
      </c>
      <c r="D132" s="8">
        <v>4554</v>
      </c>
      <c r="E132" s="9">
        <v>4464</v>
      </c>
      <c r="F132">
        <f t="shared" si="9"/>
        <v>0</v>
      </c>
      <c r="G132">
        <f t="shared" si="10"/>
        <v>0</v>
      </c>
      <c r="H132">
        <f t="shared" si="11"/>
        <v>0</v>
      </c>
    </row>
    <row r="133" spans="1:8" x14ac:dyDescent="0.25">
      <c r="A133" s="13">
        <v>46062</v>
      </c>
      <c r="B133" s="14">
        <f t="shared" si="8"/>
        <v>1</v>
      </c>
      <c r="C133" s="10">
        <v>3679</v>
      </c>
      <c r="D133" s="11">
        <v>3979</v>
      </c>
      <c r="E133" s="12">
        <v>3768</v>
      </c>
      <c r="F133">
        <f t="shared" si="9"/>
        <v>3679</v>
      </c>
      <c r="G133">
        <f t="shared" si="10"/>
        <v>3979</v>
      </c>
      <c r="H133">
        <f t="shared" si="11"/>
        <v>3768</v>
      </c>
    </row>
    <row r="134" spans="1:8" x14ac:dyDescent="0.25">
      <c r="A134" s="13">
        <v>46063</v>
      </c>
      <c r="B134" s="14">
        <f t="shared" si="8"/>
        <v>2</v>
      </c>
      <c r="C134" s="7">
        <v>4994</v>
      </c>
      <c r="D134" s="8">
        <v>3366</v>
      </c>
      <c r="E134" s="9">
        <v>4355</v>
      </c>
      <c r="F134">
        <f t="shared" si="9"/>
        <v>4994</v>
      </c>
      <c r="G134">
        <f t="shared" si="10"/>
        <v>3366</v>
      </c>
      <c r="H134">
        <f t="shared" si="11"/>
        <v>4355</v>
      </c>
    </row>
    <row r="135" spans="1:8" x14ac:dyDescent="0.25">
      <c r="A135" s="13">
        <v>46064</v>
      </c>
      <c r="B135" s="14">
        <f t="shared" si="8"/>
        <v>3</v>
      </c>
      <c r="C135" s="10">
        <v>4127</v>
      </c>
      <c r="D135" s="11">
        <v>3480</v>
      </c>
      <c r="E135" s="12">
        <v>4182</v>
      </c>
      <c r="F135">
        <f t="shared" si="9"/>
        <v>4127</v>
      </c>
      <c r="G135">
        <f t="shared" si="10"/>
        <v>3480</v>
      </c>
      <c r="H135">
        <f t="shared" si="11"/>
        <v>4182</v>
      </c>
    </row>
    <row r="136" spans="1:8" x14ac:dyDescent="0.25">
      <c r="A136" s="13">
        <v>46065</v>
      </c>
      <c r="B136" s="14">
        <f t="shared" si="8"/>
        <v>4</v>
      </c>
      <c r="C136" s="7">
        <v>3554</v>
      </c>
      <c r="D136" s="8">
        <v>4347</v>
      </c>
      <c r="E136" s="9">
        <v>4384</v>
      </c>
      <c r="F136">
        <f t="shared" si="9"/>
        <v>3554</v>
      </c>
      <c r="G136">
        <f t="shared" si="10"/>
        <v>4347</v>
      </c>
      <c r="H136">
        <f t="shared" si="11"/>
        <v>4384</v>
      </c>
    </row>
    <row r="137" spans="1:8" x14ac:dyDescent="0.25">
      <c r="A137" s="13">
        <v>46066</v>
      </c>
      <c r="B137" s="14">
        <f t="shared" si="8"/>
        <v>5</v>
      </c>
      <c r="C137" s="10">
        <v>3048</v>
      </c>
      <c r="D137" s="11">
        <v>4199</v>
      </c>
      <c r="E137" s="12">
        <v>4406</v>
      </c>
      <c r="F137">
        <f t="shared" si="9"/>
        <v>3048</v>
      </c>
      <c r="G137">
        <f t="shared" si="10"/>
        <v>4199</v>
      </c>
      <c r="H137">
        <f t="shared" si="11"/>
        <v>4406</v>
      </c>
    </row>
    <row r="138" spans="1:8" x14ac:dyDescent="0.25">
      <c r="A138" s="13">
        <v>46067</v>
      </c>
      <c r="B138" s="14">
        <f t="shared" si="8"/>
        <v>6</v>
      </c>
      <c r="C138" s="7">
        <v>4026</v>
      </c>
      <c r="D138" s="8">
        <v>4274</v>
      </c>
      <c r="E138" s="9">
        <v>4115</v>
      </c>
      <c r="F138">
        <f t="shared" si="9"/>
        <v>0</v>
      </c>
      <c r="G138">
        <f t="shared" si="10"/>
        <v>0</v>
      </c>
      <c r="H138">
        <f t="shared" si="11"/>
        <v>0</v>
      </c>
    </row>
    <row r="139" spans="1:8" x14ac:dyDescent="0.25">
      <c r="A139" s="13">
        <v>46068</v>
      </c>
      <c r="B139" s="14">
        <f t="shared" si="8"/>
        <v>7</v>
      </c>
      <c r="C139" s="10">
        <v>3242</v>
      </c>
      <c r="D139" s="11">
        <v>2627</v>
      </c>
      <c r="E139" s="12">
        <v>3838</v>
      </c>
      <c r="F139">
        <f t="shared" si="9"/>
        <v>0</v>
      </c>
      <c r="G139">
        <f t="shared" si="10"/>
        <v>0</v>
      </c>
      <c r="H139">
        <f t="shared" si="11"/>
        <v>0</v>
      </c>
    </row>
    <row r="140" spans="1:8" x14ac:dyDescent="0.25">
      <c r="A140" s="13">
        <v>46069</v>
      </c>
      <c r="B140" s="14">
        <f t="shared" si="8"/>
        <v>1</v>
      </c>
      <c r="C140" s="7">
        <v>3462</v>
      </c>
      <c r="D140" s="8">
        <v>4779</v>
      </c>
      <c r="E140" s="9">
        <v>4445</v>
      </c>
      <c r="F140">
        <f t="shared" si="9"/>
        <v>3462</v>
      </c>
      <c r="G140">
        <f t="shared" si="10"/>
        <v>4779</v>
      </c>
      <c r="H140">
        <f t="shared" si="11"/>
        <v>4445</v>
      </c>
    </row>
    <row r="141" spans="1:8" x14ac:dyDescent="0.25">
      <c r="A141" s="13">
        <v>46070</v>
      </c>
      <c r="B141" s="14">
        <f t="shared" si="8"/>
        <v>2</v>
      </c>
      <c r="C141" s="10">
        <v>4609</v>
      </c>
      <c r="D141" s="11">
        <v>3559</v>
      </c>
      <c r="E141" s="12">
        <v>3892</v>
      </c>
      <c r="F141">
        <f t="shared" si="9"/>
        <v>4609</v>
      </c>
      <c r="G141">
        <f t="shared" si="10"/>
        <v>3559</v>
      </c>
      <c r="H141">
        <f t="shared" si="11"/>
        <v>3892</v>
      </c>
    </row>
    <row r="142" spans="1:8" x14ac:dyDescent="0.25">
      <c r="A142" s="13">
        <v>46071</v>
      </c>
      <c r="B142" s="14">
        <f t="shared" si="8"/>
        <v>3</v>
      </c>
      <c r="C142" s="7">
        <v>4569</v>
      </c>
      <c r="D142" s="8">
        <v>2592</v>
      </c>
      <c r="E142" s="9">
        <v>4056</v>
      </c>
      <c r="F142">
        <f t="shared" si="9"/>
        <v>4569</v>
      </c>
      <c r="G142">
        <f t="shared" si="10"/>
        <v>2592</v>
      </c>
      <c r="H142">
        <f t="shared" si="11"/>
        <v>4056</v>
      </c>
    </row>
    <row r="143" spans="1:8" x14ac:dyDescent="0.25">
      <c r="A143" s="13">
        <v>46072</v>
      </c>
      <c r="B143" s="14">
        <f t="shared" si="8"/>
        <v>4</v>
      </c>
      <c r="C143" s="10">
        <v>3112</v>
      </c>
      <c r="D143" s="11">
        <v>3121</v>
      </c>
      <c r="E143" s="12">
        <v>4435</v>
      </c>
      <c r="F143">
        <f t="shared" si="9"/>
        <v>3112</v>
      </c>
      <c r="G143">
        <f t="shared" si="10"/>
        <v>3121</v>
      </c>
      <c r="H143">
        <f t="shared" si="11"/>
        <v>4435</v>
      </c>
    </row>
    <row r="144" spans="1:8" x14ac:dyDescent="0.25">
      <c r="A144" s="13">
        <v>46073</v>
      </c>
      <c r="B144" s="14">
        <f t="shared" si="8"/>
        <v>5</v>
      </c>
      <c r="C144" s="7">
        <v>3723</v>
      </c>
      <c r="D144" s="8">
        <v>4515</v>
      </c>
      <c r="E144" s="9">
        <v>4353</v>
      </c>
      <c r="F144">
        <f t="shared" si="9"/>
        <v>3723</v>
      </c>
      <c r="G144">
        <f t="shared" si="10"/>
        <v>4515</v>
      </c>
      <c r="H144">
        <f t="shared" si="11"/>
        <v>4353</v>
      </c>
    </row>
    <row r="145" spans="1:8" x14ac:dyDescent="0.25">
      <c r="A145" s="13">
        <v>46074</v>
      </c>
      <c r="B145" s="14">
        <f t="shared" si="8"/>
        <v>6</v>
      </c>
      <c r="C145" s="10">
        <v>3787</v>
      </c>
      <c r="D145" s="11">
        <v>4484</v>
      </c>
      <c r="E145" s="12">
        <v>3867</v>
      </c>
      <c r="F145">
        <f t="shared" si="9"/>
        <v>0</v>
      </c>
      <c r="G145">
        <f t="shared" si="10"/>
        <v>0</v>
      </c>
      <c r="H145">
        <f t="shared" si="11"/>
        <v>0</v>
      </c>
    </row>
    <row r="146" spans="1:8" x14ac:dyDescent="0.25">
      <c r="A146" s="13">
        <v>46075</v>
      </c>
      <c r="B146" s="14">
        <f t="shared" si="8"/>
        <v>7</v>
      </c>
      <c r="C146" s="7">
        <v>4927</v>
      </c>
      <c r="D146" s="8">
        <v>3405</v>
      </c>
      <c r="E146" s="9">
        <v>4289</v>
      </c>
      <c r="F146">
        <f t="shared" si="9"/>
        <v>0</v>
      </c>
      <c r="G146">
        <f t="shared" si="10"/>
        <v>0</v>
      </c>
      <c r="H146">
        <f t="shared" si="11"/>
        <v>0</v>
      </c>
    </row>
    <row r="147" spans="1:8" x14ac:dyDescent="0.25">
      <c r="A147" s="13">
        <v>46076</v>
      </c>
      <c r="B147" s="14">
        <f t="shared" si="8"/>
        <v>1</v>
      </c>
      <c r="C147" s="10">
        <v>4555</v>
      </c>
      <c r="D147" s="11">
        <v>4814</v>
      </c>
      <c r="E147" s="12">
        <v>4125</v>
      </c>
      <c r="F147">
        <f t="shared" si="9"/>
        <v>4555</v>
      </c>
      <c r="G147">
        <f t="shared" si="10"/>
        <v>4814</v>
      </c>
      <c r="H147">
        <f t="shared" si="11"/>
        <v>4125</v>
      </c>
    </row>
    <row r="148" spans="1:8" x14ac:dyDescent="0.25">
      <c r="A148" s="13">
        <v>46077</v>
      </c>
      <c r="B148" s="14">
        <f t="shared" si="8"/>
        <v>2</v>
      </c>
      <c r="C148" s="7">
        <v>4205</v>
      </c>
      <c r="D148" s="8">
        <v>4148</v>
      </c>
      <c r="E148" s="9">
        <v>3519</v>
      </c>
      <c r="F148">
        <f t="shared" si="9"/>
        <v>4205</v>
      </c>
      <c r="G148">
        <f t="shared" si="10"/>
        <v>4148</v>
      </c>
      <c r="H148">
        <f t="shared" si="11"/>
        <v>3519</v>
      </c>
    </row>
    <row r="149" spans="1:8" x14ac:dyDescent="0.25">
      <c r="A149" s="13">
        <v>46078</v>
      </c>
      <c r="B149" s="14">
        <f t="shared" si="8"/>
        <v>3</v>
      </c>
      <c r="C149" s="10">
        <v>4770</v>
      </c>
      <c r="D149" s="11">
        <v>4280</v>
      </c>
      <c r="E149" s="12">
        <v>3718</v>
      </c>
      <c r="F149">
        <f t="shared" si="9"/>
        <v>4770</v>
      </c>
      <c r="G149">
        <f t="shared" si="10"/>
        <v>4280</v>
      </c>
      <c r="H149">
        <f t="shared" si="11"/>
        <v>3718</v>
      </c>
    </row>
    <row r="150" spans="1:8" x14ac:dyDescent="0.25">
      <c r="A150" s="13">
        <v>46079</v>
      </c>
      <c r="B150" s="14">
        <f t="shared" si="8"/>
        <v>4</v>
      </c>
      <c r="C150" s="7">
        <v>3094</v>
      </c>
      <c r="D150" s="8">
        <v>2813</v>
      </c>
      <c r="E150" s="9">
        <v>4238</v>
      </c>
      <c r="F150">
        <f t="shared" si="9"/>
        <v>3094</v>
      </c>
      <c r="G150">
        <f t="shared" si="10"/>
        <v>2813</v>
      </c>
      <c r="H150">
        <f t="shared" si="11"/>
        <v>4238</v>
      </c>
    </row>
    <row r="151" spans="1:8" x14ac:dyDescent="0.25">
      <c r="A151" s="13">
        <v>46080</v>
      </c>
      <c r="B151" s="14">
        <f t="shared" si="8"/>
        <v>5</v>
      </c>
      <c r="C151" s="10">
        <v>3193</v>
      </c>
      <c r="D151" s="11">
        <v>2618</v>
      </c>
      <c r="E151" s="12">
        <v>4263</v>
      </c>
      <c r="F151">
        <f t="shared" si="9"/>
        <v>3193</v>
      </c>
      <c r="G151">
        <f t="shared" si="10"/>
        <v>2618</v>
      </c>
      <c r="H151">
        <f t="shared" si="11"/>
        <v>4263</v>
      </c>
    </row>
    <row r="152" spans="1:8" x14ac:dyDescent="0.25">
      <c r="A152" s="13">
        <v>46081</v>
      </c>
      <c r="B152" s="14">
        <f t="shared" si="8"/>
        <v>6</v>
      </c>
      <c r="C152" s="7">
        <v>4267</v>
      </c>
      <c r="D152" s="8">
        <v>2516</v>
      </c>
      <c r="E152" s="9">
        <v>4103</v>
      </c>
      <c r="F152">
        <f t="shared" si="9"/>
        <v>0</v>
      </c>
      <c r="G152">
        <f t="shared" si="10"/>
        <v>0</v>
      </c>
      <c r="H152">
        <f t="shared" si="11"/>
        <v>0</v>
      </c>
    </row>
    <row r="153" spans="1:8" x14ac:dyDescent="0.25">
      <c r="A153" s="13">
        <v>46082</v>
      </c>
      <c r="B153" s="14">
        <f t="shared" si="8"/>
        <v>7</v>
      </c>
      <c r="C153" s="10">
        <v>4436</v>
      </c>
      <c r="D153" s="11">
        <v>3240</v>
      </c>
      <c r="E153" s="12">
        <v>3966</v>
      </c>
      <c r="F153">
        <f t="shared" si="9"/>
        <v>0</v>
      </c>
      <c r="G153">
        <f t="shared" si="10"/>
        <v>0</v>
      </c>
      <c r="H153">
        <f t="shared" si="11"/>
        <v>0</v>
      </c>
    </row>
    <row r="154" spans="1:8" x14ac:dyDescent="0.25">
      <c r="A154" s="13">
        <v>46083</v>
      </c>
      <c r="B154" s="14">
        <f t="shared" si="8"/>
        <v>1</v>
      </c>
      <c r="C154" s="7">
        <v>4542</v>
      </c>
      <c r="D154" s="8">
        <v>2622</v>
      </c>
      <c r="E154" s="9">
        <v>4455</v>
      </c>
      <c r="F154">
        <f t="shared" si="9"/>
        <v>4542</v>
      </c>
      <c r="G154">
        <f t="shared" si="10"/>
        <v>2622</v>
      </c>
      <c r="H154">
        <f t="shared" si="11"/>
        <v>4455</v>
      </c>
    </row>
    <row r="155" spans="1:8" x14ac:dyDescent="0.25">
      <c r="A155" s="13">
        <v>46084</v>
      </c>
      <c r="B155" s="14">
        <f t="shared" si="8"/>
        <v>2</v>
      </c>
      <c r="C155" s="10">
        <v>3141</v>
      </c>
      <c r="D155" s="11">
        <v>4108</v>
      </c>
      <c r="E155" s="12">
        <v>4415</v>
      </c>
      <c r="F155">
        <f t="shared" si="9"/>
        <v>3141</v>
      </c>
      <c r="G155">
        <f t="shared" si="10"/>
        <v>4108</v>
      </c>
      <c r="H155">
        <f t="shared" si="11"/>
        <v>4415</v>
      </c>
    </row>
    <row r="156" spans="1:8" x14ac:dyDescent="0.25">
      <c r="A156" s="13">
        <v>46085</v>
      </c>
      <c r="B156" s="14">
        <f t="shared" si="8"/>
        <v>3</v>
      </c>
      <c r="C156" s="7">
        <v>4627</v>
      </c>
      <c r="D156" s="8">
        <v>2731</v>
      </c>
      <c r="E156" s="9">
        <v>4065</v>
      </c>
      <c r="F156">
        <f t="shared" si="9"/>
        <v>4627</v>
      </c>
      <c r="G156">
        <f t="shared" si="10"/>
        <v>2731</v>
      </c>
      <c r="H156">
        <f t="shared" si="11"/>
        <v>4065</v>
      </c>
    </row>
    <row r="157" spans="1:8" x14ac:dyDescent="0.25">
      <c r="A157" s="13">
        <v>46086</v>
      </c>
      <c r="B157" s="14">
        <f t="shared" si="8"/>
        <v>4</v>
      </c>
      <c r="C157" s="10">
        <v>4379</v>
      </c>
      <c r="D157" s="11">
        <v>2834</v>
      </c>
      <c r="E157" s="12">
        <v>4338</v>
      </c>
      <c r="F157">
        <f t="shared" si="9"/>
        <v>4379</v>
      </c>
      <c r="G157">
        <f t="shared" si="10"/>
        <v>2834</v>
      </c>
      <c r="H157">
        <f t="shared" si="11"/>
        <v>4338</v>
      </c>
    </row>
    <row r="158" spans="1:8" x14ac:dyDescent="0.25">
      <c r="A158" s="13">
        <v>46087</v>
      </c>
      <c r="B158" s="14">
        <f t="shared" si="8"/>
        <v>5</v>
      </c>
      <c r="C158" s="7">
        <v>4860</v>
      </c>
      <c r="D158" s="8">
        <v>4815</v>
      </c>
      <c r="E158" s="9">
        <v>3693</v>
      </c>
      <c r="F158">
        <f t="shared" si="9"/>
        <v>4860</v>
      </c>
      <c r="G158">
        <f t="shared" si="10"/>
        <v>4815</v>
      </c>
      <c r="H158">
        <f t="shared" si="11"/>
        <v>3693</v>
      </c>
    </row>
    <row r="159" spans="1:8" x14ac:dyDescent="0.25">
      <c r="A159" s="13">
        <v>46088</v>
      </c>
      <c r="B159" s="14">
        <f t="shared" si="8"/>
        <v>6</v>
      </c>
      <c r="C159" s="10">
        <v>4558</v>
      </c>
      <c r="D159" s="11">
        <v>2729</v>
      </c>
      <c r="E159" s="12">
        <v>3558</v>
      </c>
      <c r="F159">
        <f t="shared" si="9"/>
        <v>0</v>
      </c>
      <c r="G159">
        <f t="shared" si="10"/>
        <v>0</v>
      </c>
      <c r="H159">
        <f t="shared" si="11"/>
        <v>0</v>
      </c>
    </row>
    <row r="160" spans="1:8" x14ac:dyDescent="0.25">
      <c r="A160" s="13">
        <v>46089</v>
      </c>
      <c r="B160" s="14">
        <f t="shared" si="8"/>
        <v>7</v>
      </c>
      <c r="C160" s="7">
        <v>4818</v>
      </c>
      <c r="D160" s="8">
        <v>4126</v>
      </c>
      <c r="E160" s="9">
        <v>4477</v>
      </c>
      <c r="F160">
        <f t="shared" si="9"/>
        <v>0</v>
      </c>
      <c r="G160">
        <f t="shared" si="10"/>
        <v>0</v>
      </c>
      <c r="H160">
        <f t="shared" si="11"/>
        <v>0</v>
      </c>
    </row>
    <row r="161" spans="1:8" x14ac:dyDescent="0.25">
      <c r="A161" s="13">
        <v>46090</v>
      </c>
      <c r="B161" s="14">
        <f t="shared" si="8"/>
        <v>1</v>
      </c>
      <c r="C161" s="10">
        <v>4873</v>
      </c>
      <c r="D161" s="11">
        <v>3127</v>
      </c>
      <c r="E161" s="12">
        <v>4321</v>
      </c>
      <c r="F161">
        <f t="shared" si="9"/>
        <v>4873</v>
      </c>
      <c r="G161">
        <f t="shared" si="10"/>
        <v>3127</v>
      </c>
      <c r="H161">
        <f t="shared" si="11"/>
        <v>4321</v>
      </c>
    </row>
    <row r="162" spans="1:8" x14ac:dyDescent="0.25">
      <c r="A162" s="13">
        <v>46091</v>
      </c>
      <c r="B162" s="14">
        <f t="shared" si="8"/>
        <v>2</v>
      </c>
      <c r="C162" s="7">
        <v>3002</v>
      </c>
      <c r="D162" s="8">
        <v>2612</v>
      </c>
      <c r="E162" s="9">
        <v>3901</v>
      </c>
      <c r="F162">
        <f t="shared" si="9"/>
        <v>3002</v>
      </c>
      <c r="G162">
        <f t="shared" si="10"/>
        <v>2612</v>
      </c>
      <c r="H162">
        <f t="shared" si="11"/>
        <v>3901</v>
      </c>
    </row>
    <row r="163" spans="1:8" x14ac:dyDescent="0.25">
      <c r="A163" s="13">
        <v>46092</v>
      </c>
      <c r="B163" s="14">
        <f t="shared" si="8"/>
        <v>3</v>
      </c>
      <c r="C163" s="10">
        <v>4003</v>
      </c>
      <c r="D163" s="11">
        <v>3600</v>
      </c>
      <c r="E163" s="12">
        <v>3647</v>
      </c>
      <c r="F163">
        <f t="shared" si="9"/>
        <v>4003</v>
      </c>
      <c r="G163">
        <f t="shared" si="10"/>
        <v>3600</v>
      </c>
      <c r="H163">
        <f t="shared" si="11"/>
        <v>3647</v>
      </c>
    </row>
    <row r="164" spans="1:8" x14ac:dyDescent="0.25">
      <c r="A164" s="13">
        <v>46093</v>
      </c>
      <c r="B164" s="14">
        <f t="shared" si="8"/>
        <v>4</v>
      </c>
      <c r="C164" s="7">
        <v>3601</v>
      </c>
      <c r="D164" s="8">
        <v>3048</v>
      </c>
      <c r="E164" s="9">
        <v>4215</v>
      </c>
      <c r="F164">
        <f t="shared" si="9"/>
        <v>3601</v>
      </c>
      <c r="G164">
        <f t="shared" si="10"/>
        <v>3048</v>
      </c>
      <c r="H164">
        <f t="shared" si="11"/>
        <v>4215</v>
      </c>
    </row>
    <row r="165" spans="1:8" x14ac:dyDescent="0.25">
      <c r="A165" s="13">
        <v>46094</v>
      </c>
      <c r="B165" s="14">
        <f t="shared" si="8"/>
        <v>5</v>
      </c>
      <c r="C165" s="10">
        <v>3733</v>
      </c>
      <c r="D165" s="11">
        <v>2847</v>
      </c>
      <c r="E165" s="12">
        <v>3617</v>
      </c>
      <c r="F165">
        <f t="shared" si="9"/>
        <v>3733</v>
      </c>
      <c r="G165">
        <f t="shared" si="10"/>
        <v>2847</v>
      </c>
      <c r="H165">
        <f t="shared" si="11"/>
        <v>3617</v>
      </c>
    </row>
    <row r="166" spans="1:8" x14ac:dyDescent="0.25">
      <c r="A166" s="13">
        <v>46095</v>
      </c>
      <c r="B166" s="14">
        <f t="shared" si="8"/>
        <v>6</v>
      </c>
      <c r="C166" s="7">
        <v>3930</v>
      </c>
      <c r="D166" s="8">
        <v>2588</v>
      </c>
      <c r="E166" s="9">
        <v>3680</v>
      </c>
      <c r="F166">
        <f t="shared" si="9"/>
        <v>0</v>
      </c>
      <c r="G166">
        <f t="shared" si="10"/>
        <v>0</v>
      </c>
      <c r="H166">
        <f t="shared" si="11"/>
        <v>0</v>
      </c>
    </row>
    <row r="167" spans="1:8" x14ac:dyDescent="0.25">
      <c r="A167" s="13">
        <v>46096</v>
      </c>
      <c r="B167" s="14">
        <f t="shared" si="8"/>
        <v>7</v>
      </c>
      <c r="C167" s="10">
        <v>3423</v>
      </c>
      <c r="D167" s="11">
        <v>3459</v>
      </c>
      <c r="E167" s="12">
        <v>4045</v>
      </c>
      <c r="F167">
        <f t="shared" si="9"/>
        <v>0</v>
      </c>
      <c r="G167">
        <f t="shared" si="10"/>
        <v>0</v>
      </c>
      <c r="H167">
        <f t="shared" si="11"/>
        <v>0</v>
      </c>
    </row>
    <row r="168" spans="1:8" x14ac:dyDescent="0.25">
      <c r="A168" s="13">
        <v>46097</v>
      </c>
      <c r="B168" s="14">
        <f t="shared" si="8"/>
        <v>1</v>
      </c>
      <c r="C168" s="7">
        <v>4757</v>
      </c>
      <c r="D168" s="8">
        <v>4489</v>
      </c>
      <c r="E168" s="9">
        <v>3724</v>
      </c>
      <c r="F168">
        <f t="shared" si="9"/>
        <v>4757</v>
      </c>
      <c r="G168">
        <f t="shared" si="10"/>
        <v>4489</v>
      </c>
      <c r="H168">
        <f t="shared" si="11"/>
        <v>3724</v>
      </c>
    </row>
    <row r="169" spans="1:8" x14ac:dyDescent="0.25">
      <c r="A169" s="13">
        <v>46098</v>
      </c>
      <c r="B169" s="14">
        <f t="shared" si="8"/>
        <v>2</v>
      </c>
      <c r="C169" s="10">
        <v>3712</v>
      </c>
      <c r="D169" s="11">
        <v>3899</v>
      </c>
      <c r="E169" s="12">
        <v>4461</v>
      </c>
      <c r="F169">
        <f t="shared" si="9"/>
        <v>3712</v>
      </c>
      <c r="G169">
        <f t="shared" si="10"/>
        <v>3899</v>
      </c>
      <c r="H169">
        <f t="shared" si="11"/>
        <v>4461</v>
      </c>
    </row>
    <row r="170" spans="1:8" x14ac:dyDescent="0.25">
      <c r="A170" s="13">
        <v>46099</v>
      </c>
      <c r="B170" s="14">
        <f t="shared" si="8"/>
        <v>3</v>
      </c>
      <c r="C170" s="7">
        <v>4869</v>
      </c>
      <c r="D170" s="8">
        <v>4425</v>
      </c>
      <c r="E170" s="9">
        <v>4113</v>
      </c>
      <c r="F170">
        <f t="shared" si="9"/>
        <v>4869</v>
      </c>
      <c r="G170">
        <f t="shared" si="10"/>
        <v>4425</v>
      </c>
      <c r="H170">
        <f t="shared" si="11"/>
        <v>4113</v>
      </c>
    </row>
    <row r="171" spans="1:8" x14ac:dyDescent="0.25">
      <c r="A171" s="13">
        <v>46100</v>
      </c>
      <c r="B171" s="14">
        <f t="shared" si="8"/>
        <v>4</v>
      </c>
      <c r="C171" s="10">
        <v>4292</v>
      </c>
      <c r="D171" s="11">
        <v>3011</v>
      </c>
      <c r="E171" s="12">
        <v>3601</v>
      </c>
      <c r="F171">
        <f t="shared" si="9"/>
        <v>4292</v>
      </c>
      <c r="G171">
        <f t="shared" si="10"/>
        <v>3011</v>
      </c>
      <c r="H171">
        <f t="shared" si="11"/>
        <v>3601</v>
      </c>
    </row>
    <row r="172" spans="1:8" x14ac:dyDescent="0.25">
      <c r="A172" s="13">
        <v>46101</v>
      </c>
      <c r="B172" s="14">
        <f t="shared" si="8"/>
        <v>5</v>
      </c>
      <c r="C172" s="7">
        <v>3522</v>
      </c>
      <c r="D172" s="8">
        <v>2877</v>
      </c>
      <c r="E172" s="9">
        <v>3857</v>
      </c>
      <c r="F172">
        <f t="shared" si="9"/>
        <v>3522</v>
      </c>
      <c r="G172">
        <f t="shared" si="10"/>
        <v>2877</v>
      </c>
      <c r="H172">
        <f t="shared" si="11"/>
        <v>3857</v>
      </c>
    </row>
    <row r="173" spans="1:8" x14ac:dyDescent="0.25">
      <c r="A173" s="13">
        <v>46102</v>
      </c>
      <c r="B173" s="14">
        <f t="shared" si="8"/>
        <v>6</v>
      </c>
      <c r="C173" s="10">
        <v>4008</v>
      </c>
      <c r="D173" s="11">
        <v>3368</v>
      </c>
      <c r="E173" s="12">
        <v>4183</v>
      </c>
      <c r="F173">
        <f t="shared" si="9"/>
        <v>0</v>
      </c>
      <c r="G173">
        <f t="shared" si="10"/>
        <v>0</v>
      </c>
      <c r="H173">
        <f t="shared" si="11"/>
        <v>0</v>
      </c>
    </row>
    <row r="174" spans="1:8" x14ac:dyDescent="0.25">
      <c r="A174" s="13">
        <v>46103</v>
      </c>
      <c r="B174" s="14">
        <f t="shared" si="8"/>
        <v>7</v>
      </c>
      <c r="C174" s="7">
        <v>3351</v>
      </c>
      <c r="D174" s="8">
        <v>3838</v>
      </c>
      <c r="E174" s="9">
        <v>4400</v>
      </c>
      <c r="F174">
        <f t="shared" si="9"/>
        <v>0</v>
      </c>
      <c r="G174">
        <f t="shared" si="10"/>
        <v>0</v>
      </c>
      <c r="H174">
        <f t="shared" si="11"/>
        <v>0</v>
      </c>
    </row>
    <row r="175" spans="1:8" x14ac:dyDescent="0.25">
      <c r="A175" s="13">
        <v>46104</v>
      </c>
      <c r="B175" s="14">
        <f t="shared" si="8"/>
        <v>1</v>
      </c>
      <c r="C175" s="10">
        <v>4580</v>
      </c>
      <c r="D175" s="11">
        <v>3097</v>
      </c>
      <c r="E175" s="12">
        <v>4102</v>
      </c>
      <c r="F175">
        <f t="shared" si="9"/>
        <v>4580</v>
      </c>
      <c r="G175">
        <f t="shared" si="10"/>
        <v>3097</v>
      </c>
      <c r="H175">
        <f t="shared" si="11"/>
        <v>4102</v>
      </c>
    </row>
    <row r="176" spans="1:8" x14ac:dyDescent="0.25">
      <c r="A176" s="13">
        <v>46105</v>
      </c>
      <c r="B176" s="14">
        <f t="shared" si="8"/>
        <v>2</v>
      </c>
      <c r="C176" s="7">
        <v>3829</v>
      </c>
      <c r="D176" s="8">
        <v>3345</v>
      </c>
      <c r="E176" s="9">
        <v>3987</v>
      </c>
      <c r="F176">
        <f t="shared" si="9"/>
        <v>3829</v>
      </c>
      <c r="G176">
        <f t="shared" si="10"/>
        <v>3345</v>
      </c>
      <c r="H176">
        <f t="shared" si="11"/>
        <v>3987</v>
      </c>
    </row>
    <row r="177" spans="1:8" x14ac:dyDescent="0.25">
      <c r="A177" s="13">
        <v>46106</v>
      </c>
      <c r="B177" s="14">
        <f t="shared" si="8"/>
        <v>3</v>
      </c>
      <c r="C177" s="10">
        <v>3744</v>
      </c>
      <c r="D177" s="11">
        <v>4433</v>
      </c>
      <c r="E177" s="12">
        <v>3926</v>
      </c>
      <c r="F177">
        <f t="shared" si="9"/>
        <v>3744</v>
      </c>
      <c r="G177">
        <f t="shared" si="10"/>
        <v>4433</v>
      </c>
      <c r="H177">
        <f t="shared" si="11"/>
        <v>3926</v>
      </c>
    </row>
    <row r="178" spans="1:8" x14ac:dyDescent="0.25">
      <c r="A178" s="13">
        <v>46107</v>
      </c>
      <c r="B178" s="14">
        <f t="shared" si="8"/>
        <v>4</v>
      </c>
      <c r="C178" s="7">
        <v>4501</v>
      </c>
      <c r="D178" s="8">
        <v>4285</v>
      </c>
      <c r="E178" s="9">
        <v>3619</v>
      </c>
      <c r="F178">
        <f t="shared" si="9"/>
        <v>4501</v>
      </c>
      <c r="G178">
        <f t="shared" si="10"/>
        <v>4285</v>
      </c>
      <c r="H178">
        <f t="shared" si="11"/>
        <v>3619</v>
      </c>
    </row>
    <row r="179" spans="1:8" x14ac:dyDescent="0.25">
      <c r="A179" s="13">
        <v>46108</v>
      </c>
      <c r="B179" s="14">
        <f t="shared" si="8"/>
        <v>5</v>
      </c>
      <c r="C179" s="10">
        <v>4726</v>
      </c>
      <c r="D179" s="11">
        <v>3226</v>
      </c>
      <c r="E179" s="12">
        <v>4435</v>
      </c>
      <c r="F179">
        <f t="shared" si="9"/>
        <v>4726</v>
      </c>
      <c r="G179">
        <f t="shared" si="10"/>
        <v>3226</v>
      </c>
      <c r="H179">
        <f t="shared" si="11"/>
        <v>4435</v>
      </c>
    </row>
    <row r="180" spans="1:8" x14ac:dyDescent="0.25">
      <c r="A180" s="13">
        <v>46109</v>
      </c>
      <c r="B180" s="14">
        <f t="shared" si="8"/>
        <v>6</v>
      </c>
      <c r="C180" s="7">
        <v>3730</v>
      </c>
      <c r="D180" s="8">
        <v>4461</v>
      </c>
      <c r="E180" s="9">
        <v>4298</v>
      </c>
      <c r="F180">
        <f t="shared" si="9"/>
        <v>0</v>
      </c>
      <c r="G180">
        <f t="shared" si="10"/>
        <v>0</v>
      </c>
      <c r="H180">
        <f t="shared" si="11"/>
        <v>0</v>
      </c>
    </row>
    <row r="181" spans="1:8" x14ac:dyDescent="0.25">
      <c r="A181" s="13">
        <v>46110</v>
      </c>
      <c r="B181" s="14">
        <f t="shared" si="8"/>
        <v>7</v>
      </c>
      <c r="C181" s="10">
        <v>3956</v>
      </c>
      <c r="D181" s="11">
        <v>3914</v>
      </c>
      <c r="E181" s="12">
        <v>3766</v>
      </c>
      <c r="F181">
        <f t="shared" si="9"/>
        <v>0</v>
      </c>
      <c r="G181">
        <f t="shared" si="10"/>
        <v>0</v>
      </c>
      <c r="H181">
        <f t="shared" si="11"/>
        <v>0</v>
      </c>
    </row>
    <row r="182" spans="1:8" x14ac:dyDescent="0.25">
      <c r="A182" s="13">
        <v>46111</v>
      </c>
      <c r="B182" s="14">
        <f t="shared" si="8"/>
        <v>1</v>
      </c>
      <c r="C182" s="7">
        <v>4579</v>
      </c>
      <c r="D182" s="8">
        <v>4170</v>
      </c>
      <c r="E182" s="9">
        <v>3799</v>
      </c>
      <c r="F182">
        <f t="shared" si="9"/>
        <v>4579</v>
      </c>
      <c r="G182">
        <f t="shared" si="10"/>
        <v>4170</v>
      </c>
      <c r="H182">
        <f t="shared" si="11"/>
        <v>3799</v>
      </c>
    </row>
    <row r="183" spans="1:8" x14ac:dyDescent="0.25">
      <c r="A183" s="13">
        <v>46112</v>
      </c>
      <c r="B183" s="14">
        <f t="shared" si="8"/>
        <v>2</v>
      </c>
      <c r="C183" s="1">
        <v>4997</v>
      </c>
      <c r="D183" s="2">
        <v>3750</v>
      </c>
      <c r="E183" s="3">
        <v>4428</v>
      </c>
      <c r="F183">
        <f t="shared" si="9"/>
        <v>4997</v>
      </c>
      <c r="G183">
        <f t="shared" si="10"/>
        <v>3750</v>
      </c>
      <c r="H183">
        <f t="shared" si="11"/>
        <v>4428</v>
      </c>
    </row>
    <row r="184" spans="1:8" x14ac:dyDescent="0.25">
      <c r="F184">
        <f>SUM(F2:F183)</f>
        <v>520418</v>
      </c>
      <c r="G184">
        <f t="shared" ref="G184:H184" si="12">SUM(G2:G183)</f>
        <v>480500</v>
      </c>
      <c r="H184">
        <f t="shared" si="12"/>
        <v>517934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A3C17-5092-469B-9861-CC935D791448}">
  <dimension ref="A1:G184"/>
  <sheetViews>
    <sheetView topLeftCell="A49" workbookViewId="0">
      <selection activeCell="E183" sqref="E183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</cols>
  <sheetData>
    <row r="1" spans="1:7" x14ac:dyDescent="0.25">
      <c r="A1" t="s">
        <v>3</v>
      </c>
      <c r="B1" s="4" t="s">
        <v>0</v>
      </c>
      <c r="C1" s="5" t="s">
        <v>1</v>
      </c>
      <c r="D1" s="6" t="s">
        <v>2</v>
      </c>
      <c r="E1" s="15" t="s">
        <v>8</v>
      </c>
      <c r="F1" s="15" t="s">
        <v>9</v>
      </c>
      <c r="G1" s="15" t="s">
        <v>10</v>
      </c>
    </row>
    <row r="2" spans="1:7" x14ac:dyDescent="0.25">
      <c r="A2" s="13">
        <v>45931</v>
      </c>
      <c r="B2" s="7">
        <v>3486</v>
      </c>
      <c r="C2" s="8">
        <v>3232</v>
      </c>
      <c r="D2" s="9">
        <v>4197</v>
      </c>
      <c r="E2">
        <f>IF(B2=MAX($B2:$D2),1,0)</f>
        <v>0</v>
      </c>
      <c r="F2">
        <f>IF(C2=MAX($B2:$D2),1,0)</f>
        <v>0</v>
      </c>
      <c r="G2">
        <f>IF(D2=MAX($B2:$D2),1,0)</f>
        <v>1</v>
      </c>
    </row>
    <row r="3" spans="1:7" x14ac:dyDescent="0.25">
      <c r="A3" s="13">
        <v>45932</v>
      </c>
      <c r="B3" s="10">
        <v>4960</v>
      </c>
      <c r="C3" s="11">
        <v>2504</v>
      </c>
      <c r="D3" s="12">
        <v>3583</v>
      </c>
      <c r="E3">
        <f>IF(B3=MAX($B3:$D3),1,0)</f>
        <v>1</v>
      </c>
      <c r="F3">
        <f>IF(C3=MAX($B3:$D3),1,0)</f>
        <v>0</v>
      </c>
      <c r="G3">
        <f>IF(D3=MAX($B3:$D3),1,0)</f>
        <v>0</v>
      </c>
    </row>
    <row r="4" spans="1:7" x14ac:dyDescent="0.25">
      <c r="A4" s="13">
        <v>45933</v>
      </c>
      <c r="B4" s="7">
        <v>3662</v>
      </c>
      <c r="C4" s="8">
        <v>4613</v>
      </c>
      <c r="D4" s="9">
        <v>3929</v>
      </c>
      <c r="E4">
        <f t="shared" ref="E3:G66" si="0">IF(B4=MAX($B4:$D4),1,0)</f>
        <v>0</v>
      </c>
      <c r="F4">
        <f t="shared" ref="F2:G17" si="1">IF(C4=MAX($B4:$D4),1,0)</f>
        <v>1</v>
      </c>
      <c r="G4">
        <f t="shared" si="1"/>
        <v>0</v>
      </c>
    </row>
    <row r="5" spans="1:7" x14ac:dyDescent="0.25">
      <c r="A5" s="13">
        <v>45934</v>
      </c>
      <c r="B5" s="10">
        <v>4123</v>
      </c>
      <c r="C5" s="11">
        <v>4186</v>
      </c>
      <c r="D5" s="12">
        <v>3527</v>
      </c>
      <c r="E5">
        <f t="shared" si="0"/>
        <v>0</v>
      </c>
      <c r="F5">
        <f t="shared" si="1"/>
        <v>1</v>
      </c>
      <c r="G5">
        <f t="shared" si="1"/>
        <v>0</v>
      </c>
    </row>
    <row r="6" spans="1:7" x14ac:dyDescent="0.25">
      <c r="A6" s="13">
        <v>45935</v>
      </c>
      <c r="B6" s="7">
        <v>4729</v>
      </c>
      <c r="C6" s="8">
        <v>3850</v>
      </c>
      <c r="D6" s="9">
        <v>4169</v>
      </c>
      <c r="E6">
        <f t="shared" si="0"/>
        <v>1</v>
      </c>
      <c r="F6">
        <f t="shared" si="1"/>
        <v>0</v>
      </c>
      <c r="G6">
        <f t="shared" si="1"/>
        <v>0</v>
      </c>
    </row>
    <row r="7" spans="1:7" x14ac:dyDescent="0.25">
      <c r="A7" s="13">
        <v>45936</v>
      </c>
      <c r="B7" s="10">
        <v>4219</v>
      </c>
      <c r="C7" s="11">
        <v>4006</v>
      </c>
      <c r="D7" s="12">
        <v>3604</v>
      </c>
      <c r="E7">
        <f t="shared" si="0"/>
        <v>1</v>
      </c>
      <c r="F7">
        <f t="shared" si="1"/>
        <v>0</v>
      </c>
      <c r="G7">
        <f t="shared" si="1"/>
        <v>0</v>
      </c>
    </row>
    <row r="8" spans="1:7" x14ac:dyDescent="0.25">
      <c r="A8" s="13">
        <v>45937</v>
      </c>
      <c r="B8" s="7">
        <v>4159</v>
      </c>
      <c r="C8" s="8">
        <v>4617</v>
      </c>
      <c r="D8" s="9">
        <v>4245</v>
      </c>
      <c r="E8">
        <f t="shared" si="0"/>
        <v>0</v>
      </c>
      <c r="F8">
        <f t="shared" si="1"/>
        <v>1</v>
      </c>
      <c r="G8">
        <f t="shared" si="1"/>
        <v>0</v>
      </c>
    </row>
    <row r="9" spans="1:7" x14ac:dyDescent="0.25">
      <c r="A9" s="13">
        <v>45938</v>
      </c>
      <c r="B9" s="10">
        <v>4831</v>
      </c>
      <c r="C9" s="11">
        <v>2933</v>
      </c>
      <c r="D9" s="12">
        <v>4396</v>
      </c>
      <c r="E9">
        <f t="shared" si="0"/>
        <v>1</v>
      </c>
      <c r="F9">
        <f t="shared" si="1"/>
        <v>0</v>
      </c>
      <c r="G9">
        <f t="shared" si="1"/>
        <v>0</v>
      </c>
    </row>
    <row r="10" spans="1:7" x14ac:dyDescent="0.25">
      <c r="A10" s="13">
        <v>45939</v>
      </c>
      <c r="B10" s="7">
        <v>3679</v>
      </c>
      <c r="C10" s="8">
        <v>4671</v>
      </c>
      <c r="D10" s="9">
        <v>4429</v>
      </c>
      <c r="E10">
        <f t="shared" si="0"/>
        <v>0</v>
      </c>
      <c r="F10">
        <f t="shared" si="1"/>
        <v>1</v>
      </c>
      <c r="G10">
        <f t="shared" si="1"/>
        <v>0</v>
      </c>
    </row>
    <row r="11" spans="1:7" x14ac:dyDescent="0.25">
      <c r="A11" s="13">
        <v>45940</v>
      </c>
      <c r="B11" s="10">
        <v>4005</v>
      </c>
      <c r="C11" s="11">
        <v>4305</v>
      </c>
      <c r="D11" s="12">
        <v>3752</v>
      </c>
      <c r="E11">
        <f t="shared" si="0"/>
        <v>0</v>
      </c>
      <c r="F11">
        <f t="shared" si="1"/>
        <v>1</v>
      </c>
      <c r="G11">
        <f t="shared" si="1"/>
        <v>0</v>
      </c>
    </row>
    <row r="12" spans="1:7" x14ac:dyDescent="0.25">
      <c r="A12" s="13">
        <v>45941</v>
      </c>
      <c r="B12" s="7">
        <v>3943</v>
      </c>
      <c r="C12" s="8">
        <v>3667</v>
      </c>
      <c r="D12" s="9">
        <v>3663</v>
      </c>
      <c r="E12">
        <f t="shared" si="0"/>
        <v>1</v>
      </c>
      <c r="F12">
        <f t="shared" si="1"/>
        <v>0</v>
      </c>
      <c r="G12">
        <f t="shared" si="1"/>
        <v>0</v>
      </c>
    </row>
    <row r="13" spans="1:7" x14ac:dyDescent="0.25">
      <c r="A13" s="13">
        <v>45942</v>
      </c>
      <c r="B13" s="10">
        <v>3904</v>
      </c>
      <c r="C13" s="11">
        <v>3432</v>
      </c>
      <c r="D13" s="12">
        <v>4493</v>
      </c>
      <c r="E13">
        <f t="shared" si="0"/>
        <v>0</v>
      </c>
      <c r="F13">
        <f t="shared" si="1"/>
        <v>0</v>
      </c>
      <c r="G13">
        <f t="shared" si="1"/>
        <v>1</v>
      </c>
    </row>
    <row r="14" spans="1:7" x14ac:dyDescent="0.25">
      <c r="A14" s="13">
        <v>45943</v>
      </c>
      <c r="B14" s="7">
        <v>4521</v>
      </c>
      <c r="C14" s="8">
        <v>3098</v>
      </c>
      <c r="D14" s="9">
        <v>4316</v>
      </c>
      <c r="E14">
        <f t="shared" si="0"/>
        <v>1</v>
      </c>
      <c r="F14">
        <f t="shared" si="1"/>
        <v>0</v>
      </c>
      <c r="G14">
        <f t="shared" si="1"/>
        <v>0</v>
      </c>
    </row>
    <row r="15" spans="1:7" x14ac:dyDescent="0.25">
      <c r="A15" s="13">
        <v>45944</v>
      </c>
      <c r="B15" s="10">
        <v>3388</v>
      </c>
      <c r="C15" s="11">
        <v>4492</v>
      </c>
      <c r="D15" s="12">
        <v>3501</v>
      </c>
      <c r="E15">
        <f t="shared" si="0"/>
        <v>0</v>
      </c>
      <c r="F15">
        <f t="shared" si="1"/>
        <v>1</v>
      </c>
      <c r="G15">
        <f t="shared" si="1"/>
        <v>0</v>
      </c>
    </row>
    <row r="16" spans="1:7" x14ac:dyDescent="0.25">
      <c r="A16" s="13">
        <v>45945</v>
      </c>
      <c r="B16" s="7">
        <v>4550</v>
      </c>
      <c r="C16" s="8">
        <v>3393</v>
      </c>
      <c r="D16" s="9">
        <v>4195</v>
      </c>
      <c r="E16">
        <f t="shared" si="0"/>
        <v>1</v>
      </c>
      <c r="F16">
        <f t="shared" si="1"/>
        <v>0</v>
      </c>
      <c r="G16">
        <f t="shared" si="1"/>
        <v>0</v>
      </c>
    </row>
    <row r="17" spans="1:7" x14ac:dyDescent="0.25">
      <c r="A17" s="13">
        <v>45946</v>
      </c>
      <c r="B17" s="10">
        <v>3471</v>
      </c>
      <c r="C17" s="11">
        <v>2930</v>
      </c>
      <c r="D17" s="12">
        <v>3843</v>
      </c>
      <c r="E17">
        <f t="shared" si="0"/>
        <v>0</v>
      </c>
      <c r="F17">
        <f t="shared" si="1"/>
        <v>0</v>
      </c>
      <c r="G17">
        <f t="shared" si="1"/>
        <v>1</v>
      </c>
    </row>
    <row r="18" spans="1:7" x14ac:dyDescent="0.25">
      <c r="A18" s="13">
        <v>45947</v>
      </c>
      <c r="B18" s="7">
        <v>3774</v>
      </c>
      <c r="C18" s="8">
        <v>3220</v>
      </c>
      <c r="D18" s="9">
        <v>3684</v>
      </c>
      <c r="E18">
        <f t="shared" si="0"/>
        <v>1</v>
      </c>
      <c r="F18">
        <f t="shared" si="0"/>
        <v>0</v>
      </c>
      <c r="G18">
        <f t="shared" si="0"/>
        <v>0</v>
      </c>
    </row>
    <row r="19" spans="1:7" x14ac:dyDescent="0.25">
      <c r="A19" s="13">
        <v>45948</v>
      </c>
      <c r="B19" s="10">
        <v>4296</v>
      </c>
      <c r="C19" s="11">
        <v>3366</v>
      </c>
      <c r="D19" s="12">
        <v>3726</v>
      </c>
      <c r="E19">
        <f t="shared" si="0"/>
        <v>1</v>
      </c>
      <c r="F19">
        <f t="shared" si="0"/>
        <v>0</v>
      </c>
      <c r="G19">
        <f t="shared" si="0"/>
        <v>0</v>
      </c>
    </row>
    <row r="20" spans="1:7" x14ac:dyDescent="0.25">
      <c r="A20" s="13">
        <v>45949</v>
      </c>
      <c r="B20" s="7">
        <v>4491</v>
      </c>
      <c r="C20" s="8">
        <v>3368</v>
      </c>
      <c r="D20" s="9">
        <v>4178</v>
      </c>
      <c r="E20">
        <f t="shared" si="0"/>
        <v>1</v>
      </c>
      <c r="F20">
        <f t="shared" si="0"/>
        <v>0</v>
      </c>
      <c r="G20">
        <f t="shared" si="0"/>
        <v>0</v>
      </c>
    </row>
    <row r="21" spans="1:7" x14ac:dyDescent="0.25">
      <c r="A21" s="13">
        <v>45950</v>
      </c>
      <c r="B21" s="10">
        <v>3951</v>
      </c>
      <c r="C21" s="11">
        <v>3372</v>
      </c>
      <c r="D21" s="12">
        <v>3891</v>
      </c>
      <c r="E21">
        <f t="shared" si="0"/>
        <v>1</v>
      </c>
      <c r="F21">
        <f t="shared" si="0"/>
        <v>0</v>
      </c>
      <c r="G21">
        <f t="shared" si="0"/>
        <v>0</v>
      </c>
    </row>
    <row r="22" spans="1:7" x14ac:dyDescent="0.25">
      <c r="A22" s="13">
        <v>45951</v>
      </c>
      <c r="B22" s="7">
        <v>4491</v>
      </c>
      <c r="C22" s="8">
        <v>3752</v>
      </c>
      <c r="D22" s="9">
        <v>3860</v>
      </c>
      <c r="E22">
        <f t="shared" si="0"/>
        <v>1</v>
      </c>
      <c r="F22">
        <f t="shared" si="0"/>
        <v>0</v>
      </c>
      <c r="G22">
        <f t="shared" si="0"/>
        <v>0</v>
      </c>
    </row>
    <row r="23" spans="1:7" x14ac:dyDescent="0.25">
      <c r="A23" s="13">
        <v>45952</v>
      </c>
      <c r="B23" s="10">
        <v>3653</v>
      </c>
      <c r="C23" s="11">
        <v>4480</v>
      </c>
      <c r="D23" s="12">
        <v>3510</v>
      </c>
      <c r="E23">
        <f t="shared" si="0"/>
        <v>0</v>
      </c>
      <c r="F23">
        <f t="shared" si="0"/>
        <v>1</v>
      </c>
      <c r="G23">
        <f t="shared" si="0"/>
        <v>0</v>
      </c>
    </row>
    <row r="24" spans="1:7" x14ac:dyDescent="0.25">
      <c r="A24" s="13">
        <v>45953</v>
      </c>
      <c r="B24" s="7">
        <v>3848</v>
      </c>
      <c r="C24" s="8">
        <v>4019</v>
      </c>
      <c r="D24" s="9">
        <v>3715</v>
      </c>
      <c r="E24">
        <f t="shared" si="0"/>
        <v>0</v>
      </c>
      <c r="F24">
        <f t="shared" si="0"/>
        <v>1</v>
      </c>
      <c r="G24">
        <f t="shared" si="0"/>
        <v>0</v>
      </c>
    </row>
    <row r="25" spans="1:7" x14ac:dyDescent="0.25">
      <c r="A25" s="13">
        <v>45954</v>
      </c>
      <c r="B25" s="10">
        <v>3915</v>
      </c>
      <c r="C25" s="11">
        <v>4415</v>
      </c>
      <c r="D25" s="12">
        <v>4302</v>
      </c>
      <c r="E25">
        <f t="shared" si="0"/>
        <v>0</v>
      </c>
      <c r="F25">
        <f t="shared" si="0"/>
        <v>1</v>
      </c>
      <c r="G25">
        <f t="shared" si="0"/>
        <v>0</v>
      </c>
    </row>
    <row r="26" spans="1:7" x14ac:dyDescent="0.25">
      <c r="A26" s="13">
        <v>45955</v>
      </c>
      <c r="B26" s="7">
        <v>3876</v>
      </c>
      <c r="C26" s="8">
        <v>4802</v>
      </c>
      <c r="D26" s="9">
        <v>3939</v>
      </c>
      <c r="E26">
        <f t="shared" si="0"/>
        <v>0</v>
      </c>
      <c r="F26">
        <f t="shared" si="0"/>
        <v>1</v>
      </c>
      <c r="G26">
        <f t="shared" si="0"/>
        <v>0</v>
      </c>
    </row>
    <row r="27" spans="1:7" x14ac:dyDescent="0.25">
      <c r="A27" s="13">
        <v>45956</v>
      </c>
      <c r="B27" s="10">
        <v>4335</v>
      </c>
      <c r="C27" s="11">
        <v>2508</v>
      </c>
      <c r="D27" s="12">
        <v>4460</v>
      </c>
      <c r="E27">
        <f t="shared" si="0"/>
        <v>0</v>
      </c>
      <c r="F27">
        <f t="shared" si="0"/>
        <v>0</v>
      </c>
      <c r="G27">
        <f t="shared" si="0"/>
        <v>1</v>
      </c>
    </row>
    <row r="28" spans="1:7" x14ac:dyDescent="0.25">
      <c r="A28" s="13">
        <v>45957</v>
      </c>
      <c r="B28" s="7">
        <v>3418</v>
      </c>
      <c r="C28" s="8">
        <v>3594</v>
      </c>
      <c r="D28" s="9">
        <v>3846</v>
      </c>
      <c r="E28">
        <f t="shared" si="0"/>
        <v>0</v>
      </c>
      <c r="F28">
        <f t="shared" si="0"/>
        <v>0</v>
      </c>
      <c r="G28">
        <f t="shared" si="0"/>
        <v>1</v>
      </c>
    </row>
    <row r="29" spans="1:7" x14ac:dyDescent="0.25">
      <c r="A29" s="13">
        <v>45958</v>
      </c>
      <c r="B29" s="10">
        <v>3230</v>
      </c>
      <c r="C29" s="11">
        <v>2774</v>
      </c>
      <c r="D29" s="12">
        <v>4242</v>
      </c>
      <c r="E29">
        <f t="shared" si="0"/>
        <v>0</v>
      </c>
      <c r="F29">
        <f t="shared" si="0"/>
        <v>0</v>
      </c>
      <c r="G29">
        <f t="shared" si="0"/>
        <v>1</v>
      </c>
    </row>
    <row r="30" spans="1:7" x14ac:dyDescent="0.25">
      <c r="A30" s="13">
        <v>45959</v>
      </c>
      <c r="B30" s="7">
        <v>3066</v>
      </c>
      <c r="C30" s="8">
        <v>3374</v>
      </c>
      <c r="D30" s="9">
        <v>3664</v>
      </c>
      <c r="E30">
        <f t="shared" si="0"/>
        <v>0</v>
      </c>
      <c r="F30">
        <f t="shared" si="0"/>
        <v>0</v>
      </c>
      <c r="G30">
        <f t="shared" si="0"/>
        <v>1</v>
      </c>
    </row>
    <row r="31" spans="1:7" x14ac:dyDescent="0.25">
      <c r="A31" s="13">
        <v>45960</v>
      </c>
      <c r="B31" s="10">
        <v>4823</v>
      </c>
      <c r="C31" s="11">
        <v>4830</v>
      </c>
      <c r="D31" s="12">
        <v>4315</v>
      </c>
      <c r="E31">
        <f t="shared" si="0"/>
        <v>0</v>
      </c>
      <c r="F31">
        <f t="shared" si="0"/>
        <v>1</v>
      </c>
      <c r="G31">
        <f t="shared" si="0"/>
        <v>0</v>
      </c>
    </row>
    <row r="32" spans="1:7" x14ac:dyDescent="0.25">
      <c r="A32" s="13">
        <v>45961</v>
      </c>
      <c r="B32" s="7">
        <v>3533</v>
      </c>
      <c r="C32" s="8">
        <v>2866</v>
      </c>
      <c r="D32" s="9">
        <v>3680</v>
      </c>
      <c r="E32">
        <f t="shared" si="0"/>
        <v>0</v>
      </c>
      <c r="F32">
        <f t="shared" si="0"/>
        <v>0</v>
      </c>
      <c r="G32">
        <f t="shared" si="0"/>
        <v>1</v>
      </c>
    </row>
    <row r="33" spans="1:7" x14ac:dyDescent="0.25">
      <c r="A33" s="13">
        <v>45962</v>
      </c>
      <c r="B33" s="10">
        <v>4965</v>
      </c>
      <c r="C33" s="11">
        <v>4199</v>
      </c>
      <c r="D33" s="12">
        <v>4055</v>
      </c>
      <c r="E33">
        <f t="shared" si="0"/>
        <v>1</v>
      </c>
      <c r="F33">
        <f t="shared" si="0"/>
        <v>0</v>
      </c>
      <c r="G33">
        <f t="shared" si="0"/>
        <v>0</v>
      </c>
    </row>
    <row r="34" spans="1:7" x14ac:dyDescent="0.25">
      <c r="A34" s="13">
        <v>45963</v>
      </c>
      <c r="B34" s="7">
        <v>4813</v>
      </c>
      <c r="C34" s="8">
        <v>4912</v>
      </c>
      <c r="D34" s="9">
        <v>4436</v>
      </c>
      <c r="E34">
        <f t="shared" si="0"/>
        <v>0</v>
      </c>
      <c r="F34">
        <f t="shared" si="0"/>
        <v>1</v>
      </c>
      <c r="G34">
        <f t="shared" si="0"/>
        <v>0</v>
      </c>
    </row>
    <row r="35" spans="1:7" x14ac:dyDescent="0.25">
      <c r="A35" s="13">
        <v>45964</v>
      </c>
      <c r="B35" s="10">
        <v>3837</v>
      </c>
      <c r="C35" s="11">
        <v>2720</v>
      </c>
      <c r="D35" s="12">
        <v>4330</v>
      </c>
      <c r="E35">
        <f t="shared" si="0"/>
        <v>0</v>
      </c>
      <c r="F35">
        <f t="shared" si="0"/>
        <v>0</v>
      </c>
      <c r="G35">
        <f t="shared" si="0"/>
        <v>1</v>
      </c>
    </row>
    <row r="36" spans="1:7" x14ac:dyDescent="0.25">
      <c r="A36" s="13">
        <v>45965</v>
      </c>
      <c r="B36" s="7">
        <v>3948</v>
      </c>
      <c r="C36" s="8">
        <v>3545</v>
      </c>
      <c r="D36" s="9">
        <v>3655</v>
      </c>
      <c r="E36">
        <f t="shared" si="0"/>
        <v>1</v>
      </c>
      <c r="F36">
        <f t="shared" si="0"/>
        <v>0</v>
      </c>
      <c r="G36">
        <f t="shared" si="0"/>
        <v>0</v>
      </c>
    </row>
    <row r="37" spans="1:7" x14ac:dyDescent="0.25">
      <c r="A37" s="13">
        <v>45966</v>
      </c>
      <c r="B37" s="10">
        <v>3918</v>
      </c>
      <c r="C37" s="11">
        <v>4830</v>
      </c>
      <c r="D37" s="12">
        <v>4285</v>
      </c>
      <c r="E37">
        <f t="shared" si="0"/>
        <v>0</v>
      </c>
      <c r="F37">
        <f t="shared" si="0"/>
        <v>1</v>
      </c>
      <c r="G37">
        <f t="shared" si="0"/>
        <v>0</v>
      </c>
    </row>
    <row r="38" spans="1:7" x14ac:dyDescent="0.25">
      <c r="A38" s="13">
        <v>45967</v>
      </c>
      <c r="B38" s="7">
        <v>3301</v>
      </c>
      <c r="C38" s="8">
        <v>3785</v>
      </c>
      <c r="D38" s="9">
        <v>4272</v>
      </c>
      <c r="E38">
        <f t="shared" si="0"/>
        <v>0</v>
      </c>
      <c r="F38">
        <f t="shared" si="0"/>
        <v>0</v>
      </c>
      <c r="G38">
        <f t="shared" si="0"/>
        <v>1</v>
      </c>
    </row>
    <row r="39" spans="1:7" x14ac:dyDescent="0.25">
      <c r="A39" s="13">
        <v>45968</v>
      </c>
      <c r="B39" s="10">
        <v>3310</v>
      </c>
      <c r="C39" s="11">
        <v>2716</v>
      </c>
      <c r="D39" s="12">
        <v>4059</v>
      </c>
      <c r="E39">
        <f t="shared" si="0"/>
        <v>0</v>
      </c>
      <c r="F39">
        <f t="shared" si="0"/>
        <v>0</v>
      </c>
      <c r="G39">
        <f t="shared" si="0"/>
        <v>1</v>
      </c>
    </row>
    <row r="40" spans="1:7" x14ac:dyDescent="0.25">
      <c r="A40" s="13">
        <v>45969</v>
      </c>
      <c r="B40" s="7">
        <v>4177</v>
      </c>
      <c r="C40" s="8">
        <v>3087</v>
      </c>
      <c r="D40" s="9">
        <v>4270</v>
      </c>
      <c r="E40">
        <f t="shared" si="0"/>
        <v>0</v>
      </c>
      <c r="F40">
        <f t="shared" si="0"/>
        <v>0</v>
      </c>
      <c r="G40">
        <f t="shared" si="0"/>
        <v>1</v>
      </c>
    </row>
    <row r="41" spans="1:7" x14ac:dyDescent="0.25">
      <c r="A41" s="13">
        <v>45970</v>
      </c>
      <c r="B41" s="10">
        <v>3646</v>
      </c>
      <c r="C41" s="11">
        <v>4622</v>
      </c>
      <c r="D41" s="12">
        <v>3905</v>
      </c>
      <c r="E41">
        <f t="shared" si="0"/>
        <v>0</v>
      </c>
      <c r="F41">
        <f t="shared" si="0"/>
        <v>1</v>
      </c>
      <c r="G41">
        <f t="shared" si="0"/>
        <v>0</v>
      </c>
    </row>
    <row r="42" spans="1:7" x14ac:dyDescent="0.25">
      <c r="A42" s="13">
        <v>45971</v>
      </c>
      <c r="B42" s="7">
        <v>3603</v>
      </c>
      <c r="C42" s="8">
        <v>4985</v>
      </c>
      <c r="D42" s="9">
        <v>4082</v>
      </c>
      <c r="E42">
        <f t="shared" si="0"/>
        <v>0</v>
      </c>
      <c r="F42">
        <f t="shared" si="0"/>
        <v>1</v>
      </c>
      <c r="G42">
        <f t="shared" si="0"/>
        <v>0</v>
      </c>
    </row>
    <row r="43" spans="1:7" x14ac:dyDescent="0.25">
      <c r="A43" s="13">
        <v>45972</v>
      </c>
      <c r="B43" s="10">
        <v>4500</v>
      </c>
      <c r="C43" s="11">
        <v>4658</v>
      </c>
      <c r="D43" s="12">
        <v>3583</v>
      </c>
      <c r="E43">
        <f>IF(B43=MAX($B43:$D43),1,0)</f>
        <v>0</v>
      </c>
      <c r="F43">
        <f t="shared" si="0"/>
        <v>1</v>
      </c>
      <c r="G43">
        <f t="shared" si="0"/>
        <v>0</v>
      </c>
    </row>
    <row r="44" spans="1:7" x14ac:dyDescent="0.25">
      <c r="A44" s="13">
        <v>45973</v>
      </c>
      <c r="B44" s="7">
        <v>4642</v>
      </c>
      <c r="C44" s="8">
        <v>3721</v>
      </c>
      <c r="D44" s="9">
        <v>4045</v>
      </c>
      <c r="E44">
        <f t="shared" si="0"/>
        <v>1</v>
      </c>
      <c r="F44">
        <f t="shared" si="0"/>
        <v>0</v>
      </c>
      <c r="G44">
        <f t="shared" si="0"/>
        <v>0</v>
      </c>
    </row>
    <row r="45" spans="1:7" x14ac:dyDescent="0.25">
      <c r="A45" s="13">
        <v>45974</v>
      </c>
      <c r="B45" s="10">
        <v>4280</v>
      </c>
      <c r="C45" s="11">
        <v>2622</v>
      </c>
      <c r="D45" s="12">
        <v>3630</v>
      </c>
      <c r="E45">
        <f t="shared" si="0"/>
        <v>1</v>
      </c>
      <c r="F45">
        <f t="shared" si="0"/>
        <v>0</v>
      </c>
      <c r="G45">
        <f t="shared" si="0"/>
        <v>0</v>
      </c>
    </row>
    <row r="46" spans="1:7" x14ac:dyDescent="0.25">
      <c r="A46" s="13">
        <v>45975</v>
      </c>
      <c r="B46" s="7">
        <v>3307</v>
      </c>
      <c r="C46" s="8">
        <v>4450</v>
      </c>
      <c r="D46" s="9">
        <v>3551</v>
      </c>
      <c r="E46">
        <f t="shared" si="0"/>
        <v>0</v>
      </c>
      <c r="F46">
        <f t="shared" si="0"/>
        <v>1</v>
      </c>
      <c r="G46">
        <f t="shared" si="0"/>
        <v>0</v>
      </c>
    </row>
    <row r="47" spans="1:7" x14ac:dyDescent="0.25">
      <c r="A47" s="13">
        <v>45976</v>
      </c>
      <c r="B47" s="10">
        <v>3132</v>
      </c>
      <c r="C47" s="11">
        <v>3118</v>
      </c>
      <c r="D47" s="12">
        <v>4231</v>
      </c>
      <c r="E47">
        <f t="shared" si="0"/>
        <v>0</v>
      </c>
      <c r="F47">
        <f t="shared" si="0"/>
        <v>0</v>
      </c>
      <c r="G47">
        <f t="shared" si="0"/>
        <v>1</v>
      </c>
    </row>
    <row r="48" spans="1:7" x14ac:dyDescent="0.25">
      <c r="A48" s="13">
        <v>45977</v>
      </c>
      <c r="B48" s="7">
        <v>3438</v>
      </c>
      <c r="C48" s="8">
        <v>2559</v>
      </c>
      <c r="D48" s="9">
        <v>4323</v>
      </c>
      <c r="E48">
        <f t="shared" si="0"/>
        <v>0</v>
      </c>
      <c r="F48">
        <f t="shared" si="0"/>
        <v>0</v>
      </c>
      <c r="G48">
        <f t="shared" si="0"/>
        <v>1</v>
      </c>
    </row>
    <row r="49" spans="1:7" x14ac:dyDescent="0.25">
      <c r="A49" s="13">
        <v>45978</v>
      </c>
      <c r="B49" s="10">
        <v>4209</v>
      </c>
      <c r="C49" s="11">
        <v>4094</v>
      </c>
      <c r="D49" s="12">
        <v>3533</v>
      </c>
      <c r="E49">
        <f t="shared" si="0"/>
        <v>1</v>
      </c>
      <c r="F49">
        <f t="shared" si="0"/>
        <v>0</v>
      </c>
      <c r="G49">
        <f t="shared" si="0"/>
        <v>0</v>
      </c>
    </row>
    <row r="50" spans="1:7" x14ac:dyDescent="0.25">
      <c r="A50" s="13">
        <v>45979</v>
      </c>
      <c r="B50" s="7">
        <v>3469</v>
      </c>
      <c r="C50" s="8">
        <v>3582</v>
      </c>
      <c r="D50" s="9">
        <v>3578</v>
      </c>
      <c r="E50">
        <f t="shared" si="0"/>
        <v>0</v>
      </c>
      <c r="F50">
        <f t="shared" si="0"/>
        <v>1</v>
      </c>
      <c r="G50">
        <f t="shared" si="0"/>
        <v>0</v>
      </c>
    </row>
    <row r="51" spans="1:7" x14ac:dyDescent="0.25">
      <c r="A51" s="13">
        <v>45980</v>
      </c>
      <c r="B51" s="10">
        <v>3964</v>
      </c>
      <c r="C51" s="11">
        <v>4282</v>
      </c>
      <c r="D51" s="12">
        <v>3642</v>
      </c>
      <c r="E51">
        <f t="shared" si="0"/>
        <v>0</v>
      </c>
      <c r="F51">
        <f t="shared" si="0"/>
        <v>1</v>
      </c>
      <c r="G51">
        <f t="shared" si="0"/>
        <v>0</v>
      </c>
    </row>
    <row r="52" spans="1:7" x14ac:dyDescent="0.25">
      <c r="A52" s="13">
        <v>45981</v>
      </c>
      <c r="B52" s="7">
        <v>3464</v>
      </c>
      <c r="C52" s="8">
        <v>3816</v>
      </c>
      <c r="D52" s="9">
        <v>4038</v>
      </c>
      <c r="E52">
        <f t="shared" si="0"/>
        <v>0</v>
      </c>
      <c r="F52">
        <f t="shared" si="0"/>
        <v>0</v>
      </c>
      <c r="G52">
        <f t="shared" si="0"/>
        <v>1</v>
      </c>
    </row>
    <row r="53" spans="1:7" x14ac:dyDescent="0.25">
      <c r="A53" s="13">
        <v>45982</v>
      </c>
      <c r="B53" s="10">
        <v>4762</v>
      </c>
      <c r="C53" s="11">
        <v>3842</v>
      </c>
      <c r="D53" s="12">
        <v>4097</v>
      </c>
      <c r="E53">
        <f t="shared" si="0"/>
        <v>1</v>
      </c>
      <c r="F53">
        <f t="shared" si="0"/>
        <v>0</v>
      </c>
      <c r="G53">
        <f t="shared" si="0"/>
        <v>0</v>
      </c>
    </row>
    <row r="54" spans="1:7" x14ac:dyDescent="0.25">
      <c r="A54" s="13">
        <v>45983</v>
      </c>
      <c r="B54" s="7">
        <v>3239</v>
      </c>
      <c r="C54" s="8">
        <v>3124</v>
      </c>
      <c r="D54" s="9">
        <v>4114</v>
      </c>
      <c r="E54">
        <f t="shared" si="0"/>
        <v>0</v>
      </c>
      <c r="F54">
        <f t="shared" si="0"/>
        <v>0</v>
      </c>
      <c r="G54">
        <f t="shared" si="0"/>
        <v>1</v>
      </c>
    </row>
    <row r="55" spans="1:7" x14ac:dyDescent="0.25">
      <c r="A55" s="13">
        <v>45984</v>
      </c>
      <c r="B55" s="10">
        <v>4722</v>
      </c>
      <c r="C55" s="11">
        <v>4675</v>
      </c>
      <c r="D55" s="12">
        <v>4499</v>
      </c>
      <c r="E55">
        <f t="shared" si="0"/>
        <v>1</v>
      </c>
      <c r="F55">
        <f t="shared" si="0"/>
        <v>0</v>
      </c>
      <c r="G55">
        <f t="shared" si="0"/>
        <v>0</v>
      </c>
    </row>
    <row r="56" spans="1:7" x14ac:dyDescent="0.25">
      <c r="A56" s="13">
        <v>45985</v>
      </c>
      <c r="B56" s="7">
        <v>4398</v>
      </c>
      <c r="C56" s="8">
        <v>3072</v>
      </c>
      <c r="D56" s="9">
        <v>4282</v>
      </c>
      <c r="E56">
        <f t="shared" si="0"/>
        <v>1</v>
      </c>
      <c r="F56">
        <f t="shared" si="0"/>
        <v>0</v>
      </c>
      <c r="G56">
        <f t="shared" si="0"/>
        <v>0</v>
      </c>
    </row>
    <row r="57" spans="1:7" x14ac:dyDescent="0.25">
      <c r="A57" s="13">
        <v>45986</v>
      </c>
      <c r="B57" s="10">
        <v>3950</v>
      </c>
      <c r="C57" s="11">
        <v>3684</v>
      </c>
      <c r="D57" s="12">
        <v>3825</v>
      </c>
      <c r="E57">
        <f t="shared" si="0"/>
        <v>1</v>
      </c>
      <c r="F57">
        <f t="shared" si="0"/>
        <v>0</v>
      </c>
      <c r="G57">
        <f t="shared" si="0"/>
        <v>0</v>
      </c>
    </row>
    <row r="58" spans="1:7" x14ac:dyDescent="0.25">
      <c r="A58" s="13">
        <v>45987</v>
      </c>
      <c r="B58" s="7">
        <v>3089</v>
      </c>
      <c r="C58" s="8">
        <v>3898</v>
      </c>
      <c r="D58" s="9">
        <v>3737</v>
      </c>
      <c r="E58">
        <f t="shared" si="0"/>
        <v>0</v>
      </c>
      <c r="F58">
        <f t="shared" si="0"/>
        <v>1</v>
      </c>
      <c r="G58">
        <f t="shared" si="0"/>
        <v>0</v>
      </c>
    </row>
    <row r="59" spans="1:7" x14ac:dyDescent="0.25">
      <c r="A59" s="13">
        <v>45988</v>
      </c>
      <c r="B59" s="10">
        <v>4408</v>
      </c>
      <c r="C59" s="11">
        <v>2923</v>
      </c>
      <c r="D59" s="12">
        <v>4377</v>
      </c>
      <c r="E59">
        <f t="shared" si="0"/>
        <v>1</v>
      </c>
      <c r="F59">
        <f t="shared" si="0"/>
        <v>0</v>
      </c>
      <c r="G59">
        <f t="shared" si="0"/>
        <v>0</v>
      </c>
    </row>
    <row r="60" spans="1:7" x14ac:dyDescent="0.25">
      <c r="A60" s="13">
        <v>45989</v>
      </c>
      <c r="B60" s="7">
        <v>3732</v>
      </c>
      <c r="C60" s="8">
        <v>2542</v>
      </c>
      <c r="D60" s="9">
        <v>4322</v>
      </c>
      <c r="E60">
        <f t="shared" si="0"/>
        <v>0</v>
      </c>
      <c r="F60">
        <f t="shared" si="0"/>
        <v>0</v>
      </c>
      <c r="G60">
        <f t="shared" si="0"/>
        <v>1</v>
      </c>
    </row>
    <row r="61" spans="1:7" x14ac:dyDescent="0.25">
      <c r="A61" s="13">
        <v>45990</v>
      </c>
      <c r="B61" s="10">
        <v>4706</v>
      </c>
      <c r="C61" s="11">
        <v>3760</v>
      </c>
      <c r="D61" s="12">
        <v>4447</v>
      </c>
      <c r="E61">
        <f t="shared" si="0"/>
        <v>1</v>
      </c>
      <c r="F61">
        <f t="shared" si="0"/>
        <v>0</v>
      </c>
      <c r="G61">
        <f t="shared" si="0"/>
        <v>0</v>
      </c>
    </row>
    <row r="62" spans="1:7" x14ac:dyDescent="0.25">
      <c r="A62" s="13">
        <v>45991</v>
      </c>
      <c r="B62" s="7">
        <v>3905</v>
      </c>
      <c r="C62" s="8">
        <v>4048</v>
      </c>
      <c r="D62" s="9">
        <v>3656</v>
      </c>
      <c r="E62">
        <f t="shared" si="0"/>
        <v>0</v>
      </c>
      <c r="F62">
        <f t="shared" si="0"/>
        <v>1</v>
      </c>
      <c r="G62">
        <f t="shared" si="0"/>
        <v>0</v>
      </c>
    </row>
    <row r="63" spans="1:7" x14ac:dyDescent="0.25">
      <c r="A63" s="13">
        <v>45992</v>
      </c>
      <c r="B63" s="10">
        <v>4369</v>
      </c>
      <c r="C63" s="11">
        <v>4468</v>
      </c>
      <c r="D63" s="12">
        <v>3578</v>
      </c>
      <c r="E63">
        <f t="shared" si="0"/>
        <v>0</v>
      </c>
      <c r="F63">
        <f t="shared" si="0"/>
        <v>1</v>
      </c>
      <c r="G63">
        <f t="shared" si="0"/>
        <v>0</v>
      </c>
    </row>
    <row r="64" spans="1:7" x14ac:dyDescent="0.25">
      <c r="A64" s="13">
        <v>45993</v>
      </c>
      <c r="B64" s="7">
        <v>4186</v>
      </c>
      <c r="C64" s="8">
        <v>3808</v>
      </c>
      <c r="D64" s="9">
        <v>4065</v>
      </c>
      <c r="E64">
        <f t="shared" si="0"/>
        <v>1</v>
      </c>
      <c r="F64">
        <f t="shared" si="0"/>
        <v>0</v>
      </c>
      <c r="G64">
        <f t="shared" si="0"/>
        <v>0</v>
      </c>
    </row>
    <row r="65" spans="1:7" x14ac:dyDescent="0.25">
      <c r="A65" s="13">
        <v>45994</v>
      </c>
      <c r="B65" s="10">
        <v>3780</v>
      </c>
      <c r="C65" s="11">
        <v>3894</v>
      </c>
      <c r="D65" s="12">
        <v>4341</v>
      </c>
      <c r="E65">
        <f t="shared" si="0"/>
        <v>0</v>
      </c>
      <c r="F65">
        <f t="shared" si="0"/>
        <v>0</v>
      </c>
      <c r="G65">
        <f t="shared" si="0"/>
        <v>1</v>
      </c>
    </row>
    <row r="66" spans="1:7" x14ac:dyDescent="0.25">
      <c r="A66" s="13">
        <v>45995</v>
      </c>
      <c r="B66" s="7">
        <v>3859</v>
      </c>
      <c r="C66" s="8">
        <v>3335</v>
      </c>
      <c r="D66" s="9">
        <v>4343</v>
      </c>
      <c r="E66">
        <f t="shared" si="0"/>
        <v>0</v>
      </c>
      <c r="F66">
        <f t="shared" si="0"/>
        <v>0</v>
      </c>
      <c r="G66">
        <f t="shared" si="0"/>
        <v>1</v>
      </c>
    </row>
    <row r="67" spans="1:7" x14ac:dyDescent="0.25">
      <c r="A67" s="13">
        <v>45996</v>
      </c>
      <c r="B67" s="10">
        <v>4842</v>
      </c>
      <c r="C67" s="11">
        <v>4325</v>
      </c>
      <c r="D67" s="12">
        <v>4284</v>
      </c>
      <c r="E67">
        <f t="shared" ref="E67:G130" si="2">IF(B67=MAX($B67:$D67),1,0)</f>
        <v>1</v>
      </c>
      <c r="F67">
        <f t="shared" si="2"/>
        <v>0</v>
      </c>
      <c r="G67">
        <f t="shared" si="2"/>
        <v>0</v>
      </c>
    </row>
    <row r="68" spans="1:7" x14ac:dyDescent="0.25">
      <c r="A68" s="13">
        <v>45997</v>
      </c>
      <c r="B68" s="7">
        <v>4461</v>
      </c>
      <c r="C68" s="8">
        <v>3535</v>
      </c>
      <c r="D68" s="9">
        <v>4224</v>
      </c>
      <c r="E68">
        <f t="shared" si="2"/>
        <v>1</v>
      </c>
      <c r="F68">
        <f t="shared" si="2"/>
        <v>0</v>
      </c>
      <c r="G68">
        <f t="shared" si="2"/>
        <v>0</v>
      </c>
    </row>
    <row r="69" spans="1:7" x14ac:dyDescent="0.25">
      <c r="A69" s="13">
        <v>45998</v>
      </c>
      <c r="B69" s="10">
        <v>3676</v>
      </c>
      <c r="C69" s="11">
        <v>3549</v>
      </c>
      <c r="D69" s="12">
        <v>4469</v>
      </c>
      <c r="E69">
        <f t="shared" si="2"/>
        <v>0</v>
      </c>
      <c r="F69">
        <f t="shared" si="2"/>
        <v>0</v>
      </c>
      <c r="G69">
        <f t="shared" si="2"/>
        <v>1</v>
      </c>
    </row>
    <row r="70" spans="1:7" x14ac:dyDescent="0.25">
      <c r="A70" s="13">
        <v>45999</v>
      </c>
      <c r="B70" s="7">
        <v>4173</v>
      </c>
      <c r="C70" s="8">
        <v>3281</v>
      </c>
      <c r="D70" s="9">
        <v>4365</v>
      </c>
      <c r="E70">
        <f t="shared" si="2"/>
        <v>0</v>
      </c>
      <c r="F70">
        <f t="shared" si="2"/>
        <v>0</v>
      </c>
      <c r="G70">
        <f t="shared" si="2"/>
        <v>1</v>
      </c>
    </row>
    <row r="71" spans="1:7" x14ac:dyDescent="0.25">
      <c r="A71" s="13">
        <v>46000</v>
      </c>
      <c r="B71" s="10">
        <v>3982</v>
      </c>
      <c r="C71" s="11">
        <v>3500</v>
      </c>
      <c r="D71" s="12">
        <v>4379</v>
      </c>
      <c r="E71">
        <f t="shared" si="2"/>
        <v>0</v>
      </c>
      <c r="F71">
        <f t="shared" si="2"/>
        <v>0</v>
      </c>
      <c r="G71">
        <f t="shared" si="2"/>
        <v>1</v>
      </c>
    </row>
    <row r="72" spans="1:7" x14ac:dyDescent="0.25">
      <c r="A72" s="13">
        <v>46001</v>
      </c>
      <c r="B72" s="7">
        <v>4507</v>
      </c>
      <c r="C72" s="8">
        <v>4263</v>
      </c>
      <c r="D72" s="9">
        <v>4439</v>
      </c>
      <c r="E72">
        <f t="shared" si="2"/>
        <v>1</v>
      </c>
      <c r="F72">
        <f t="shared" si="2"/>
        <v>0</v>
      </c>
      <c r="G72">
        <f t="shared" si="2"/>
        <v>0</v>
      </c>
    </row>
    <row r="73" spans="1:7" x14ac:dyDescent="0.25">
      <c r="A73" s="13">
        <v>46002</v>
      </c>
      <c r="B73" s="10">
        <v>3574</v>
      </c>
      <c r="C73" s="11">
        <v>2503</v>
      </c>
      <c r="D73" s="12">
        <v>3886</v>
      </c>
      <c r="E73">
        <f t="shared" si="2"/>
        <v>0</v>
      </c>
      <c r="F73">
        <f t="shared" si="2"/>
        <v>0</v>
      </c>
      <c r="G73">
        <f t="shared" si="2"/>
        <v>1</v>
      </c>
    </row>
    <row r="74" spans="1:7" x14ac:dyDescent="0.25">
      <c r="A74" s="13">
        <v>46003</v>
      </c>
      <c r="B74" s="7">
        <v>3514</v>
      </c>
      <c r="C74" s="8">
        <v>3589</v>
      </c>
      <c r="D74" s="9">
        <v>4163</v>
      </c>
      <c r="E74">
        <f t="shared" si="2"/>
        <v>0</v>
      </c>
      <c r="F74">
        <f t="shared" si="2"/>
        <v>0</v>
      </c>
      <c r="G74">
        <f t="shared" si="2"/>
        <v>1</v>
      </c>
    </row>
    <row r="75" spans="1:7" x14ac:dyDescent="0.25">
      <c r="A75" s="13">
        <v>46004</v>
      </c>
      <c r="B75" s="10">
        <v>3825</v>
      </c>
      <c r="C75" s="11">
        <v>3615</v>
      </c>
      <c r="D75" s="12">
        <v>4275</v>
      </c>
      <c r="E75">
        <f t="shared" si="2"/>
        <v>0</v>
      </c>
      <c r="F75">
        <f t="shared" si="2"/>
        <v>0</v>
      </c>
      <c r="G75">
        <f t="shared" si="2"/>
        <v>1</v>
      </c>
    </row>
    <row r="76" spans="1:7" x14ac:dyDescent="0.25">
      <c r="A76" s="13">
        <v>46005</v>
      </c>
      <c r="B76" s="7">
        <v>3839</v>
      </c>
      <c r="C76" s="8">
        <v>3962</v>
      </c>
      <c r="D76" s="9">
        <v>4207</v>
      </c>
      <c r="E76">
        <f t="shared" si="2"/>
        <v>0</v>
      </c>
      <c r="F76">
        <f t="shared" si="2"/>
        <v>0</v>
      </c>
      <c r="G76">
        <f t="shared" si="2"/>
        <v>1</v>
      </c>
    </row>
    <row r="77" spans="1:7" x14ac:dyDescent="0.25">
      <c r="A77" s="13">
        <v>46006</v>
      </c>
      <c r="B77" s="10">
        <v>4686</v>
      </c>
      <c r="C77" s="11">
        <v>2918</v>
      </c>
      <c r="D77" s="12">
        <v>3885</v>
      </c>
      <c r="E77">
        <f t="shared" si="2"/>
        <v>1</v>
      </c>
      <c r="F77">
        <f t="shared" si="2"/>
        <v>0</v>
      </c>
      <c r="G77">
        <f t="shared" si="2"/>
        <v>0</v>
      </c>
    </row>
    <row r="78" spans="1:7" x14ac:dyDescent="0.25">
      <c r="A78" s="13">
        <v>46007</v>
      </c>
      <c r="B78" s="7">
        <v>3155</v>
      </c>
      <c r="C78" s="8">
        <v>4732</v>
      </c>
      <c r="D78" s="9">
        <v>4066</v>
      </c>
      <c r="E78">
        <f t="shared" si="2"/>
        <v>0</v>
      </c>
      <c r="F78">
        <f t="shared" si="2"/>
        <v>1</v>
      </c>
      <c r="G78">
        <f t="shared" si="2"/>
        <v>0</v>
      </c>
    </row>
    <row r="79" spans="1:7" x14ac:dyDescent="0.25">
      <c r="A79" s="13">
        <v>46008</v>
      </c>
      <c r="B79" s="10">
        <v>3375</v>
      </c>
      <c r="C79" s="11">
        <v>3272</v>
      </c>
      <c r="D79" s="12">
        <v>4355</v>
      </c>
      <c r="E79">
        <f t="shared" si="2"/>
        <v>0</v>
      </c>
      <c r="F79">
        <f t="shared" si="2"/>
        <v>0</v>
      </c>
      <c r="G79">
        <f t="shared" si="2"/>
        <v>1</v>
      </c>
    </row>
    <row r="80" spans="1:7" x14ac:dyDescent="0.25">
      <c r="A80" s="13">
        <v>46009</v>
      </c>
      <c r="B80" s="7">
        <v>4396</v>
      </c>
      <c r="C80" s="8">
        <v>2882</v>
      </c>
      <c r="D80" s="9">
        <v>3646</v>
      </c>
      <c r="E80">
        <f t="shared" si="2"/>
        <v>1</v>
      </c>
      <c r="F80">
        <f t="shared" si="2"/>
        <v>0</v>
      </c>
      <c r="G80">
        <f t="shared" si="2"/>
        <v>0</v>
      </c>
    </row>
    <row r="81" spans="1:7" x14ac:dyDescent="0.25">
      <c r="A81" s="13">
        <v>46010</v>
      </c>
      <c r="B81" s="10">
        <v>4371</v>
      </c>
      <c r="C81" s="11">
        <v>3799</v>
      </c>
      <c r="D81" s="12">
        <v>3529</v>
      </c>
      <c r="E81">
        <f t="shared" si="2"/>
        <v>1</v>
      </c>
      <c r="F81">
        <f t="shared" si="2"/>
        <v>0</v>
      </c>
      <c r="G81">
        <f t="shared" si="2"/>
        <v>0</v>
      </c>
    </row>
    <row r="82" spans="1:7" x14ac:dyDescent="0.25">
      <c r="A82" s="13">
        <v>46011</v>
      </c>
      <c r="B82" s="7">
        <v>3493</v>
      </c>
      <c r="C82" s="8">
        <v>4308</v>
      </c>
      <c r="D82" s="9">
        <v>3677</v>
      </c>
      <c r="E82">
        <f t="shared" si="2"/>
        <v>0</v>
      </c>
      <c r="F82">
        <f t="shared" si="2"/>
        <v>1</v>
      </c>
      <c r="G82">
        <f t="shared" si="2"/>
        <v>0</v>
      </c>
    </row>
    <row r="83" spans="1:7" x14ac:dyDescent="0.25">
      <c r="A83" s="13">
        <v>46012</v>
      </c>
      <c r="B83" s="10">
        <v>3809</v>
      </c>
      <c r="C83" s="11">
        <v>4305</v>
      </c>
      <c r="D83" s="12">
        <v>3855</v>
      </c>
      <c r="E83">
        <f t="shared" si="2"/>
        <v>0</v>
      </c>
      <c r="F83">
        <f t="shared" si="2"/>
        <v>1</v>
      </c>
      <c r="G83">
        <f t="shared" si="2"/>
        <v>0</v>
      </c>
    </row>
    <row r="84" spans="1:7" x14ac:dyDescent="0.25">
      <c r="A84" s="13">
        <v>46013</v>
      </c>
      <c r="B84" s="7">
        <v>3783</v>
      </c>
      <c r="C84" s="8">
        <v>3070</v>
      </c>
      <c r="D84" s="9">
        <v>3906</v>
      </c>
      <c r="E84">
        <f t="shared" si="2"/>
        <v>0</v>
      </c>
      <c r="F84">
        <f t="shared" si="2"/>
        <v>0</v>
      </c>
      <c r="G84">
        <f t="shared" si="2"/>
        <v>1</v>
      </c>
    </row>
    <row r="85" spans="1:7" x14ac:dyDescent="0.25">
      <c r="A85" s="13">
        <v>46014</v>
      </c>
      <c r="B85" s="10">
        <v>3651</v>
      </c>
      <c r="C85" s="11">
        <v>3648</v>
      </c>
      <c r="D85" s="12">
        <v>4369</v>
      </c>
      <c r="E85">
        <f t="shared" si="2"/>
        <v>0</v>
      </c>
      <c r="F85">
        <f t="shared" si="2"/>
        <v>0</v>
      </c>
      <c r="G85">
        <f t="shared" si="2"/>
        <v>1</v>
      </c>
    </row>
    <row r="86" spans="1:7" x14ac:dyDescent="0.25">
      <c r="A86" s="13">
        <v>46015</v>
      </c>
      <c r="B86" s="7">
        <v>4785</v>
      </c>
      <c r="C86" s="8">
        <v>3608</v>
      </c>
      <c r="D86" s="9">
        <v>3660</v>
      </c>
      <c r="E86">
        <f t="shared" si="2"/>
        <v>1</v>
      </c>
      <c r="F86">
        <f t="shared" si="2"/>
        <v>0</v>
      </c>
      <c r="G86">
        <f t="shared" si="2"/>
        <v>0</v>
      </c>
    </row>
    <row r="87" spans="1:7" x14ac:dyDescent="0.25">
      <c r="A87" s="13">
        <v>46016</v>
      </c>
      <c r="B87" s="10">
        <v>4756</v>
      </c>
      <c r="C87" s="11">
        <v>2907</v>
      </c>
      <c r="D87" s="12">
        <v>3579</v>
      </c>
      <c r="E87">
        <f t="shared" si="2"/>
        <v>1</v>
      </c>
      <c r="F87">
        <f t="shared" si="2"/>
        <v>0</v>
      </c>
      <c r="G87">
        <f t="shared" si="2"/>
        <v>0</v>
      </c>
    </row>
    <row r="88" spans="1:7" x14ac:dyDescent="0.25">
      <c r="A88" s="13">
        <v>46017</v>
      </c>
      <c r="B88" s="7">
        <v>3615</v>
      </c>
      <c r="C88" s="8">
        <v>3854</v>
      </c>
      <c r="D88" s="9">
        <v>3713</v>
      </c>
      <c r="E88">
        <f t="shared" si="2"/>
        <v>0</v>
      </c>
      <c r="F88">
        <f t="shared" si="2"/>
        <v>1</v>
      </c>
      <c r="G88">
        <f t="shared" si="2"/>
        <v>0</v>
      </c>
    </row>
    <row r="89" spans="1:7" x14ac:dyDescent="0.25">
      <c r="A89" s="13">
        <v>46018</v>
      </c>
      <c r="B89" s="10">
        <v>4570</v>
      </c>
      <c r="C89" s="11">
        <v>2857</v>
      </c>
      <c r="D89" s="12">
        <v>3821</v>
      </c>
      <c r="E89">
        <f t="shared" si="2"/>
        <v>1</v>
      </c>
      <c r="F89">
        <f t="shared" si="2"/>
        <v>0</v>
      </c>
      <c r="G89">
        <f t="shared" si="2"/>
        <v>0</v>
      </c>
    </row>
    <row r="90" spans="1:7" x14ac:dyDescent="0.25">
      <c r="A90" s="13">
        <v>46019</v>
      </c>
      <c r="B90" s="7">
        <v>3598</v>
      </c>
      <c r="C90" s="8">
        <v>3805</v>
      </c>
      <c r="D90" s="9">
        <v>3769</v>
      </c>
      <c r="E90">
        <f t="shared" si="2"/>
        <v>0</v>
      </c>
      <c r="F90">
        <f t="shared" si="2"/>
        <v>1</v>
      </c>
      <c r="G90">
        <f t="shared" si="2"/>
        <v>0</v>
      </c>
    </row>
    <row r="91" spans="1:7" x14ac:dyDescent="0.25">
      <c r="A91" s="13">
        <v>46020</v>
      </c>
      <c r="B91" s="10">
        <v>4365</v>
      </c>
      <c r="C91" s="11">
        <v>3553</v>
      </c>
      <c r="D91" s="12">
        <v>3861</v>
      </c>
      <c r="E91">
        <f t="shared" si="2"/>
        <v>1</v>
      </c>
      <c r="F91">
        <f t="shared" si="2"/>
        <v>0</v>
      </c>
      <c r="G91">
        <f t="shared" si="2"/>
        <v>0</v>
      </c>
    </row>
    <row r="92" spans="1:7" x14ac:dyDescent="0.25">
      <c r="A92" s="13">
        <v>46021</v>
      </c>
      <c r="B92" s="7">
        <v>4998</v>
      </c>
      <c r="C92" s="8">
        <v>3365</v>
      </c>
      <c r="D92" s="9">
        <v>3839</v>
      </c>
      <c r="E92">
        <f t="shared" si="2"/>
        <v>1</v>
      </c>
      <c r="F92">
        <f t="shared" si="2"/>
        <v>0</v>
      </c>
      <c r="G92">
        <f t="shared" si="2"/>
        <v>0</v>
      </c>
    </row>
    <row r="93" spans="1:7" x14ac:dyDescent="0.25">
      <c r="A93" s="13">
        <v>46022</v>
      </c>
      <c r="B93" s="10">
        <v>3824</v>
      </c>
      <c r="C93" s="11">
        <v>3612</v>
      </c>
      <c r="D93" s="12">
        <v>3928</v>
      </c>
      <c r="E93">
        <f t="shared" si="2"/>
        <v>0</v>
      </c>
      <c r="F93">
        <f t="shared" si="2"/>
        <v>0</v>
      </c>
      <c r="G93">
        <f t="shared" si="2"/>
        <v>1</v>
      </c>
    </row>
    <row r="94" spans="1:7" x14ac:dyDescent="0.25">
      <c r="A94" s="13">
        <v>46023</v>
      </c>
      <c r="B94" s="7">
        <v>3168</v>
      </c>
      <c r="C94" s="8">
        <v>4708</v>
      </c>
      <c r="D94" s="9">
        <v>4087</v>
      </c>
      <c r="E94">
        <f t="shared" si="2"/>
        <v>0</v>
      </c>
      <c r="F94">
        <f t="shared" si="2"/>
        <v>1</v>
      </c>
      <c r="G94">
        <f t="shared" si="2"/>
        <v>0</v>
      </c>
    </row>
    <row r="95" spans="1:7" x14ac:dyDescent="0.25">
      <c r="A95" s="13">
        <v>46024</v>
      </c>
      <c r="B95" s="10">
        <v>4042</v>
      </c>
      <c r="C95" s="11">
        <v>4551</v>
      </c>
      <c r="D95" s="12">
        <v>3868</v>
      </c>
      <c r="E95">
        <f t="shared" si="2"/>
        <v>0</v>
      </c>
      <c r="F95">
        <f t="shared" si="2"/>
        <v>1</v>
      </c>
      <c r="G95">
        <f t="shared" si="2"/>
        <v>0</v>
      </c>
    </row>
    <row r="96" spans="1:7" x14ac:dyDescent="0.25">
      <c r="A96" s="13">
        <v>46025</v>
      </c>
      <c r="B96" s="7">
        <v>4346</v>
      </c>
      <c r="C96" s="8">
        <v>4149</v>
      </c>
      <c r="D96" s="9">
        <v>3664</v>
      </c>
      <c r="E96">
        <f t="shared" si="2"/>
        <v>1</v>
      </c>
      <c r="F96">
        <f t="shared" si="2"/>
        <v>0</v>
      </c>
      <c r="G96">
        <f t="shared" si="2"/>
        <v>0</v>
      </c>
    </row>
    <row r="97" spans="1:7" x14ac:dyDescent="0.25">
      <c r="A97" s="13">
        <v>46026</v>
      </c>
      <c r="B97" s="10">
        <v>4903</v>
      </c>
      <c r="C97" s="11">
        <v>4370</v>
      </c>
      <c r="D97" s="12">
        <v>4421</v>
      </c>
      <c r="E97">
        <f t="shared" si="2"/>
        <v>1</v>
      </c>
      <c r="F97">
        <f t="shared" si="2"/>
        <v>0</v>
      </c>
      <c r="G97">
        <f t="shared" si="2"/>
        <v>0</v>
      </c>
    </row>
    <row r="98" spans="1:7" x14ac:dyDescent="0.25">
      <c r="A98" s="13">
        <v>46027</v>
      </c>
      <c r="B98" s="7">
        <v>4202</v>
      </c>
      <c r="C98" s="8">
        <v>3920</v>
      </c>
      <c r="D98" s="9">
        <v>4413</v>
      </c>
      <c r="E98">
        <f t="shared" si="2"/>
        <v>0</v>
      </c>
      <c r="F98">
        <f t="shared" si="2"/>
        <v>0</v>
      </c>
      <c r="G98">
        <f t="shared" si="2"/>
        <v>1</v>
      </c>
    </row>
    <row r="99" spans="1:7" x14ac:dyDescent="0.25">
      <c r="A99" s="13">
        <v>46028</v>
      </c>
      <c r="B99" s="10">
        <v>3594</v>
      </c>
      <c r="C99" s="11">
        <v>4538</v>
      </c>
      <c r="D99" s="12">
        <v>3722</v>
      </c>
      <c r="E99">
        <f t="shared" si="2"/>
        <v>0</v>
      </c>
      <c r="F99">
        <f t="shared" si="2"/>
        <v>1</v>
      </c>
      <c r="G99">
        <f t="shared" si="2"/>
        <v>0</v>
      </c>
    </row>
    <row r="100" spans="1:7" x14ac:dyDescent="0.25">
      <c r="A100" s="13">
        <v>46029</v>
      </c>
      <c r="B100" s="7">
        <v>4837</v>
      </c>
      <c r="C100" s="8">
        <v>3455</v>
      </c>
      <c r="D100" s="9">
        <v>3595</v>
      </c>
      <c r="E100">
        <f t="shared" si="2"/>
        <v>1</v>
      </c>
      <c r="F100">
        <f t="shared" si="2"/>
        <v>0</v>
      </c>
      <c r="G100">
        <f t="shared" si="2"/>
        <v>0</v>
      </c>
    </row>
    <row r="101" spans="1:7" x14ac:dyDescent="0.25">
      <c r="A101" s="13">
        <v>46030</v>
      </c>
      <c r="B101" s="10">
        <v>3528</v>
      </c>
      <c r="C101" s="11">
        <v>3524</v>
      </c>
      <c r="D101" s="12">
        <v>3768</v>
      </c>
      <c r="E101">
        <f t="shared" si="2"/>
        <v>0</v>
      </c>
      <c r="F101">
        <f t="shared" si="2"/>
        <v>0</v>
      </c>
      <c r="G101">
        <f t="shared" si="2"/>
        <v>1</v>
      </c>
    </row>
    <row r="102" spans="1:7" x14ac:dyDescent="0.25">
      <c r="A102" s="13">
        <v>46031</v>
      </c>
      <c r="B102" s="7">
        <v>4869</v>
      </c>
      <c r="C102" s="8">
        <v>2564</v>
      </c>
      <c r="D102" s="9">
        <v>3669</v>
      </c>
      <c r="E102">
        <f t="shared" si="2"/>
        <v>1</v>
      </c>
      <c r="F102">
        <f t="shared" si="2"/>
        <v>0</v>
      </c>
      <c r="G102">
        <f t="shared" si="2"/>
        <v>0</v>
      </c>
    </row>
    <row r="103" spans="1:7" x14ac:dyDescent="0.25">
      <c r="A103" s="13">
        <v>46032</v>
      </c>
      <c r="B103" s="10">
        <v>4270</v>
      </c>
      <c r="C103" s="11">
        <v>3659</v>
      </c>
      <c r="D103" s="12">
        <v>3829</v>
      </c>
      <c r="E103">
        <f t="shared" si="2"/>
        <v>1</v>
      </c>
      <c r="F103">
        <f t="shared" si="2"/>
        <v>0</v>
      </c>
      <c r="G103">
        <f t="shared" si="2"/>
        <v>0</v>
      </c>
    </row>
    <row r="104" spans="1:7" x14ac:dyDescent="0.25">
      <c r="A104" s="13">
        <v>46033</v>
      </c>
      <c r="B104" s="7">
        <v>4266</v>
      </c>
      <c r="C104" s="8">
        <v>3961</v>
      </c>
      <c r="D104" s="9">
        <v>4134</v>
      </c>
      <c r="E104">
        <f t="shared" si="2"/>
        <v>1</v>
      </c>
      <c r="F104">
        <f t="shared" si="2"/>
        <v>0</v>
      </c>
      <c r="G104">
        <f t="shared" si="2"/>
        <v>0</v>
      </c>
    </row>
    <row r="105" spans="1:7" x14ac:dyDescent="0.25">
      <c r="A105" s="13">
        <v>46034</v>
      </c>
      <c r="B105" s="10">
        <v>4714</v>
      </c>
      <c r="C105" s="11">
        <v>3735</v>
      </c>
      <c r="D105" s="12">
        <v>3609</v>
      </c>
      <c r="E105">
        <f t="shared" si="2"/>
        <v>1</v>
      </c>
      <c r="F105">
        <f t="shared" si="2"/>
        <v>0</v>
      </c>
      <c r="G105">
        <f t="shared" si="2"/>
        <v>0</v>
      </c>
    </row>
    <row r="106" spans="1:7" x14ac:dyDescent="0.25">
      <c r="A106" s="13">
        <v>46035</v>
      </c>
      <c r="B106" s="7">
        <v>3953</v>
      </c>
      <c r="C106" s="8">
        <v>4143</v>
      </c>
      <c r="D106" s="9">
        <v>3971</v>
      </c>
      <c r="E106">
        <f t="shared" si="2"/>
        <v>0</v>
      </c>
      <c r="F106">
        <f t="shared" si="2"/>
        <v>1</v>
      </c>
      <c r="G106">
        <f t="shared" si="2"/>
        <v>0</v>
      </c>
    </row>
    <row r="107" spans="1:7" x14ac:dyDescent="0.25">
      <c r="A107" s="13">
        <v>46036</v>
      </c>
      <c r="B107" s="10">
        <v>3659</v>
      </c>
      <c r="C107" s="11">
        <v>4604</v>
      </c>
      <c r="D107" s="12">
        <v>3573</v>
      </c>
      <c r="E107">
        <f t="shared" si="2"/>
        <v>0</v>
      </c>
      <c r="F107">
        <f t="shared" si="2"/>
        <v>1</v>
      </c>
      <c r="G107">
        <f t="shared" si="2"/>
        <v>0</v>
      </c>
    </row>
    <row r="108" spans="1:7" x14ac:dyDescent="0.25">
      <c r="A108" s="13">
        <v>46037</v>
      </c>
      <c r="B108" s="7">
        <v>3879</v>
      </c>
      <c r="C108" s="8">
        <v>4415</v>
      </c>
      <c r="D108" s="9">
        <v>4315</v>
      </c>
      <c r="E108">
        <f t="shared" si="2"/>
        <v>0</v>
      </c>
      <c r="F108">
        <f t="shared" si="2"/>
        <v>1</v>
      </c>
      <c r="G108">
        <f t="shared" si="2"/>
        <v>0</v>
      </c>
    </row>
    <row r="109" spans="1:7" x14ac:dyDescent="0.25">
      <c r="A109" s="13">
        <v>46038</v>
      </c>
      <c r="B109" s="10">
        <v>3914</v>
      </c>
      <c r="C109" s="11">
        <v>3409</v>
      </c>
      <c r="D109" s="12">
        <v>4351</v>
      </c>
      <c r="E109">
        <f t="shared" si="2"/>
        <v>0</v>
      </c>
      <c r="F109">
        <f t="shared" si="2"/>
        <v>0</v>
      </c>
      <c r="G109">
        <f t="shared" si="2"/>
        <v>1</v>
      </c>
    </row>
    <row r="110" spans="1:7" x14ac:dyDescent="0.25">
      <c r="A110" s="13">
        <v>46039</v>
      </c>
      <c r="B110" s="7">
        <v>3339</v>
      </c>
      <c r="C110" s="8">
        <v>3542</v>
      </c>
      <c r="D110" s="9">
        <v>3627</v>
      </c>
      <c r="E110">
        <f t="shared" si="2"/>
        <v>0</v>
      </c>
      <c r="F110">
        <f t="shared" si="2"/>
        <v>0</v>
      </c>
      <c r="G110">
        <f t="shared" si="2"/>
        <v>1</v>
      </c>
    </row>
    <row r="111" spans="1:7" x14ac:dyDescent="0.25">
      <c r="A111" s="13">
        <v>46040</v>
      </c>
      <c r="B111" s="10">
        <v>3162</v>
      </c>
      <c r="C111" s="11">
        <v>2896</v>
      </c>
      <c r="D111" s="12">
        <v>3766</v>
      </c>
      <c r="E111">
        <f t="shared" si="2"/>
        <v>0</v>
      </c>
      <c r="F111">
        <f t="shared" si="2"/>
        <v>0</v>
      </c>
      <c r="G111">
        <f t="shared" si="2"/>
        <v>1</v>
      </c>
    </row>
    <row r="112" spans="1:7" x14ac:dyDescent="0.25">
      <c r="A112" s="13">
        <v>46041</v>
      </c>
      <c r="B112" s="7">
        <v>3060</v>
      </c>
      <c r="C112" s="8">
        <v>4654</v>
      </c>
      <c r="D112" s="9">
        <v>4424</v>
      </c>
      <c r="E112">
        <f t="shared" si="2"/>
        <v>0</v>
      </c>
      <c r="F112">
        <f t="shared" si="2"/>
        <v>1</v>
      </c>
      <c r="G112">
        <f t="shared" si="2"/>
        <v>0</v>
      </c>
    </row>
    <row r="113" spans="1:7" x14ac:dyDescent="0.25">
      <c r="A113" s="13">
        <v>46042</v>
      </c>
      <c r="B113" s="10">
        <v>3030</v>
      </c>
      <c r="C113" s="11">
        <v>4743</v>
      </c>
      <c r="D113" s="12">
        <v>4186</v>
      </c>
      <c r="E113">
        <f t="shared" si="2"/>
        <v>0</v>
      </c>
      <c r="F113">
        <f t="shared" si="2"/>
        <v>1</v>
      </c>
      <c r="G113">
        <f t="shared" si="2"/>
        <v>0</v>
      </c>
    </row>
    <row r="114" spans="1:7" x14ac:dyDescent="0.25">
      <c r="A114" s="13">
        <v>46043</v>
      </c>
      <c r="B114" s="7">
        <v>4179</v>
      </c>
      <c r="C114" s="8">
        <v>3640</v>
      </c>
      <c r="D114" s="9">
        <v>3831</v>
      </c>
      <c r="E114">
        <f t="shared" si="2"/>
        <v>1</v>
      </c>
      <c r="F114">
        <f t="shared" si="2"/>
        <v>0</v>
      </c>
      <c r="G114">
        <f t="shared" si="2"/>
        <v>0</v>
      </c>
    </row>
    <row r="115" spans="1:7" x14ac:dyDescent="0.25">
      <c r="A115" s="13">
        <v>46044</v>
      </c>
      <c r="B115" s="10">
        <v>4608</v>
      </c>
      <c r="C115" s="11">
        <v>2935</v>
      </c>
      <c r="D115" s="12">
        <v>3605</v>
      </c>
      <c r="E115">
        <f t="shared" si="2"/>
        <v>1</v>
      </c>
      <c r="F115">
        <f t="shared" si="2"/>
        <v>0</v>
      </c>
      <c r="G115">
        <f t="shared" si="2"/>
        <v>0</v>
      </c>
    </row>
    <row r="116" spans="1:7" x14ac:dyDescent="0.25">
      <c r="A116" s="13">
        <v>46045</v>
      </c>
      <c r="B116" s="7">
        <v>3033</v>
      </c>
      <c r="C116" s="8">
        <v>3819</v>
      </c>
      <c r="D116" s="9">
        <v>3718</v>
      </c>
      <c r="E116">
        <f t="shared" si="2"/>
        <v>0</v>
      </c>
      <c r="F116">
        <f t="shared" si="2"/>
        <v>1</v>
      </c>
      <c r="G116">
        <f t="shared" si="2"/>
        <v>0</v>
      </c>
    </row>
    <row r="117" spans="1:7" x14ac:dyDescent="0.25">
      <c r="A117" s="13">
        <v>46046</v>
      </c>
      <c r="B117" s="10">
        <v>4026</v>
      </c>
      <c r="C117" s="11">
        <v>2995</v>
      </c>
      <c r="D117" s="12">
        <v>3879</v>
      </c>
      <c r="E117">
        <f t="shared" si="2"/>
        <v>1</v>
      </c>
      <c r="F117">
        <f t="shared" si="2"/>
        <v>0</v>
      </c>
      <c r="G117">
        <f t="shared" si="2"/>
        <v>0</v>
      </c>
    </row>
    <row r="118" spans="1:7" x14ac:dyDescent="0.25">
      <c r="A118" s="13">
        <v>46047</v>
      </c>
      <c r="B118" s="7">
        <v>3351</v>
      </c>
      <c r="C118" s="8">
        <v>3804</v>
      </c>
      <c r="D118" s="9">
        <v>3881</v>
      </c>
      <c r="E118">
        <f t="shared" si="2"/>
        <v>0</v>
      </c>
      <c r="F118">
        <f t="shared" si="2"/>
        <v>0</v>
      </c>
      <c r="G118">
        <f t="shared" si="2"/>
        <v>1</v>
      </c>
    </row>
    <row r="119" spans="1:7" x14ac:dyDescent="0.25">
      <c r="A119" s="13">
        <v>46048</v>
      </c>
      <c r="B119" s="10">
        <v>4157</v>
      </c>
      <c r="C119" s="11">
        <v>4105</v>
      </c>
      <c r="D119" s="12">
        <v>3818</v>
      </c>
      <c r="E119">
        <f t="shared" si="2"/>
        <v>1</v>
      </c>
      <c r="F119">
        <f t="shared" si="2"/>
        <v>0</v>
      </c>
      <c r="G119">
        <f t="shared" si="2"/>
        <v>0</v>
      </c>
    </row>
    <row r="120" spans="1:7" x14ac:dyDescent="0.25">
      <c r="A120" s="13">
        <v>46049</v>
      </c>
      <c r="B120" s="7">
        <v>3435</v>
      </c>
      <c r="C120" s="8">
        <v>4678</v>
      </c>
      <c r="D120" s="9">
        <v>4051</v>
      </c>
      <c r="E120">
        <f t="shared" si="2"/>
        <v>0</v>
      </c>
      <c r="F120">
        <f t="shared" si="2"/>
        <v>1</v>
      </c>
      <c r="G120">
        <f t="shared" si="2"/>
        <v>0</v>
      </c>
    </row>
    <row r="121" spans="1:7" x14ac:dyDescent="0.25">
      <c r="A121" s="13">
        <v>46050</v>
      </c>
      <c r="B121" s="10">
        <v>3210</v>
      </c>
      <c r="C121" s="11">
        <v>2845</v>
      </c>
      <c r="D121" s="12">
        <v>4169</v>
      </c>
      <c r="E121">
        <f t="shared" si="2"/>
        <v>0</v>
      </c>
      <c r="F121">
        <f t="shared" si="2"/>
        <v>0</v>
      </c>
      <c r="G121">
        <f t="shared" si="2"/>
        <v>1</v>
      </c>
    </row>
    <row r="122" spans="1:7" x14ac:dyDescent="0.25">
      <c r="A122" s="13">
        <v>46051</v>
      </c>
      <c r="B122" s="7">
        <v>3472</v>
      </c>
      <c r="C122" s="8">
        <v>3921</v>
      </c>
      <c r="D122" s="9">
        <v>3819</v>
      </c>
      <c r="E122">
        <f t="shared" si="2"/>
        <v>0</v>
      </c>
      <c r="F122">
        <f t="shared" si="2"/>
        <v>1</v>
      </c>
      <c r="G122">
        <f t="shared" si="2"/>
        <v>0</v>
      </c>
    </row>
    <row r="123" spans="1:7" x14ac:dyDescent="0.25">
      <c r="A123" s="13">
        <v>46052</v>
      </c>
      <c r="B123" s="10">
        <v>4654</v>
      </c>
      <c r="C123" s="11">
        <v>4096</v>
      </c>
      <c r="D123" s="12">
        <v>3537</v>
      </c>
      <c r="E123">
        <f t="shared" si="2"/>
        <v>1</v>
      </c>
      <c r="F123">
        <f t="shared" si="2"/>
        <v>0</v>
      </c>
      <c r="G123">
        <f t="shared" si="2"/>
        <v>0</v>
      </c>
    </row>
    <row r="124" spans="1:7" x14ac:dyDescent="0.25">
      <c r="A124" s="13">
        <v>46053</v>
      </c>
      <c r="B124" s="7">
        <v>4837</v>
      </c>
      <c r="C124" s="8">
        <v>3080</v>
      </c>
      <c r="D124" s="9">
        <v>4401</v>
      </c>
      <c r="E124">
        <f t="shared" si="2"/>
        <v>1</v>
      </c>
      <c r="F124">
        <f t="shared" si="2"/>
        <v>0</v>
      </c>
      <c r="G124">
        <f t="shared" si="2"/>
        <v>0</v>
      </c>
    </row>
    <row r="125" spans="1:7" x14ac:dyDescent="0.25">
      <c r="A125" s="13">
        <v>46054</v>
      </c>
      <c r="B125" s="10">
        <v>4533</v>
      </c>
      <c r="C125" s="11">
        <v>4971</v>
      </c>
      <c r="D125" s="12">
        <v>4085</v>
      </c>
      <c r="E125">
        <f t="shared" si="2"/>
        <v>0</v>
      </c>
      <c r="F125">
        <f t="shared" si="2"/>
        <v>1</v>
      </c>
      <c r="G125">
        <f t="shared" si="2"/>
        <v>0</v>
      </c>
    </row>
    <row r="126" spans="1:7" x14ac:dyDescent="0.25">
      <c r="A126" s="13">
        <v>46055</v>
      </c>
      <c r="B126" s="7">
        <v>4473</v>
      </c>
      <c r="C126" s="8">
        <v>3814</v>
      </c>
      <c r="D126" s="9">
        <v>3674</v>
      </c>
      <c r="E126">
        <f t="shared" si="2"/>
        <v>1</v>
      </c>
      <c r="F126">
        <f t="shared" si="2"/>
        <v>0</v>
      </c>
      <c r="G126">
        <f t="shared" si="2"/>
        <v>0</v>
      </c>
    </row>
    <row r="127" spans="1:7" x14ac:dyDescent="0.25">
      <c r="A127" s="13">
        <v>46056</v>
      </c>
      <c r="B127" s="10">
        <v>4325</v>
      </c>
      <c r="C127" s="11">
        <v>3187</v>
      </c>
      <c r="D127" s="12">
        <v>3755</v>
      </c>
      <c r="E127">
        <f t="shared" si="2"/>
        <v>1</v>
      </c>
      <c r="F127">
        <f t="shared" si="2"/>
        <v>0</v>
      </c>
      <c r="G127">
        <f t="shared" si="2"/>
        <v>0</v>
      </c>
    </row>
    <row r="128" spans="1:7" x14ac:dyDescent="0.25">
      <c r="A128" s="13">
        <v>46057</v>
      </c>
      <c r="B128" s="7">
        <v>4048</v>
      </c>
      <c r="C128" s="8">
        <v>2556</v>
      </c>
      <c r="D128" s="9">
        <v>4060</v>
      </c>
      <c r="E128">
        <f t="shared" si="2"/>
        <v>0</v>
      </c>
      <c r="F128">
        <f t="shared" si="2"/>
        <v>0</v>
      </c>
      <c r="G128">
        <f t="shared" si="2"/>
        <v>1</v>
      </c>
    </row>
    <row r="129" spans="1:7" x14ac:dyDescent="0.25">
      <c r="A129" s="13">
        <v>46058</v>
      </c>
      <c r="B129" s="10">
        <v>3142</v>
      </c>
      <c r="C129" s="11">
        <v>3697</v>
      </c>
      <c r="D129" s="12">
        <v>4184</v>
      </c>
      <c r="E129">
        <f t="shared" si="2"/>
        <v>0</v>
      </c>
      <c r="F129">
        <f t="shared" si="2"/>
        <v>0</v>
      </c>
      <c r="G129">
        <f t="shared" si="2"/>
        <v>1</v>
      </c>
    </row>
    <row r="130" spans="1:7" x14ac:dyDescent="0.25">
      <c r="A130" s="13">
        <v>46059</v>
      </c>
      <c r="B130" s="7">
        <v>4400</v>
      </c>
      <c r="C130" s="8">
        <v>4840</v>
      </c>
      <c r="D130" s="9">
        <v>3503</v>
      </c>
      <c r="E130">
        <f t="shared" si="2"/>
        <v>0</v>
      </c>
      <c r="F130">
        <f t="shared" si="2"/>
        <v>1</v>
      </c>
      <c r="G130">
        <f t="shared" si="2"/>
        <v>0</v>
      </c>
    </row>
    <row r="131" spans="1:7" x14ac:dyDescent="0.25">
      <c r="A131" s="13">
        <v>46060</v>
      </c>
      <c r="B131" s="10">
        <v>4885</v>
      </c>
      <c r="C131" s="11">
        <v>4696</v>
      </c>
      <c r="D131" s="12">
        <v>3652</v>
      </c>
      <c r="E131">
        <f t="shared" ref="E131:G183" si="3">IF(B131=MAX($B131:$D131),1,0)</f>
        <v>1</v>
      </c>
      <c r="F131">
        <f t="shared" si="3"/>
        <v>0</v>
      </c>
      <c r="G131">
        <f t="shared" si="3"/>
        <v>0</v>
      </c>
    </row>
    <row r="132" spans="1:7" x14ac:dyDescent="0.25">
      <c r="A132" s="13">
        <v>46061</v>
      </c>
      <c r="B132" s="7">
        <v>4586</v>
      </c>
      <c r="C132" s="8">
        <v>4554</v>
      </c>
      <c r="D132" s="9">
        <v>4464</v>
      </c>
      <c r="E132">
        <f t="shared" si="3"/>
        <v>1</v>
      </c>
      <c r="F132">
        <f t="shared" si="3"/>
        <v>0</v>
      </c>
      <c r="G132">
        <f t="shared" si="3"/>
        <v>0</v>
      </c>
    </row>
    <row r="133" spans="1:7" x14ac:dyDescent="0.25">
      <c r="A133" s="13">
        <v>46062</v>
      </c>
      <c r="B133" s="10">
        <v>3679</v>
      </c>
      <c r="C133" s="11">
        <v>3979</v>
      </c>
      <c r="D133" s="12">
        <v>3768</v>
      </c>
      <c r="E133">
        <f t="shared" si="3"/>
        <v>0</v>
      </c>
      <c r="F133">
        <f t="shared" si="3"/>
        <v>1</v>
      </c>
      <c r="G133">
        <f t="shared" si="3"/>
        <v>0</v>
      </c>
    </row>
    <row r="134" spans="1:7" x14ac:dyDescent="0.25">
      <c r="A134" s="13">
        <v>46063</v>
      </c>
      <c r="B134" s="7">
        <v>4994</v>
      </c>
      <c r="C134" s="8">
        <v>3366</v>
      </c>
      <c r="D134" s="9">
        <v>4355</v>
      </c>
      <c r="E134">
        <f t="shared" si="3"/>
        <v>1</v>
      </c>
      <c r="F134">
        <f t="shared" si="3"/>
        <v>0</v>
      </c>
      <c r="G134">
        <f t="shared" si="3"/>
        <v>0</v>
      </c>
    </row>
    <row r="135" spans="1:7" x14ac:dyDescent="0.25">
      <c r="A135" s="13">
        <v>46064</v>
      </c>
      <c r="B135" s="10">
        <v>4127</v>
      </c>
      <c r="C135" s="11">
        <v>3480</v>
      </c>
      <c r="D135" s="12">
        <v>4182</v>
      </c>
      <c r="E135">
        <f t="shared" si="3"/>
        <v>0</v>
      </c>
      <c r="F135">
        <f t="shared" si="3"/>
        <v>0</v>
      </c>
      <c r="G135">
        <f t="shared" si="3"/>
        <v>1</v>
      </c>
    </row>
    <row r="136" spans="1:7" x14ac:dyDescent="0.25">
      <c r="A136" s="13">
        <v>46065</v>
      </c>
      <c r="B136" s="7">
        <v>3554</v>
      </c>
      <c r="C136" s="8">
        <v>4347</v>
      </c>
      <c r="D136" s="9">
        <v>4384</v>
      </c>
      <c r="E136">
        <f t="shared" si="3"/>
        <v>0</v>
      </c>
      <c r="F136">
        <f t="shared" si="3"/>
        <v>0</v>
      </c>
      <c r="G136">
        <f t="shared" si="3"/>
        <v>1</v>
      </c>
    </row>
    <row r="137" spans="1:7" x14ac:dyDescent="0.25">
      <c r="A137" s="13">
        <v>46066</v>
      </c>
      <c r="B137" s="10">
        <v>3048</v>
      </c>
      <c r="C137" s="11">
        <v>4199</v>
      </c>
      <c r="D137" s="12">
        <v>4406</v>
      </c>
      <c r="E137">
        <f t="shared" si="3"/>
        <v>0</v>
      </c>
      <c r="F137">
        <f t="shared" si="3"/>
        <v>0</v>
      </c>
      <c r="G137">
        <f t="shared" si="3"/>
        <v>1</v>
      </c>
    </row>
    <row r="138" spans="1:7" x14ac:dyDescent="0.25">
      <c r="A138" s="13">
        <v>46067</v>
      </c>
      <c r="B138" s="7">
        <v>4026</v>
      </c>
      <c r="C138" s="8">
        <v>4274</v>
      </c>
      <c r="D138" s="9">
        <v>4115</v>
      </c>
      <c r="E138">
        <f t="shared" si="3"/>
        <v>0</v>
      </c>
      <c r="F138">
        <f t="shared" si="3"/>
        <v>1</v>
      </c>
      <c r="G138">
        <f t="shared" si="3"/>
        <v>0</v>
      </c>
    </row>
    <row r="139" spans="1:7" x14ac:dyDescent="0.25">
      <c r="A139" s="13">
        <v>46068</v>
      </c>
      <c r="B139" s="10">
        <v>3242</v>
      </c>
      <c r="C139" s="11">
        <v>2627</v>
      </c>
      <c r="D139" s="12">
        <v>3838</v>
      </c>
      <c r="E139">
        <f t="shared" si="3"/>
        <v>0</v>
      </c>
      <c r="F139">
        <f t="shared" si="3"/>
        <v>0</v>
      </c>
      <c r="G139">
        <f t="shared" si="3"/>
        <v>1</v>
      </c>
    </row>
    <row r="140" spans="1:7" x14ac:dyDescent="0.25">
      <c r="A140" s="13">
        <v>46069</v>
      </c>
      <c r="B140" s="7">
        <v>3462</v>
      </c>
      <c r="C140" s="8">
        <v>4779</v>
      </c>
      <c r="D140" s="9">
        <v>4445</v>
      </c>
      <c r="E140">
        <f t="shared" si="3"/>
        <v>0</v>
      </c>
      <c r="F140">
        <f t="shared" si="3"/>
        <v>1</v>
      </c>
      <c r="G140">
        <f t="shared" si="3"/>
        <v>0</v>
      </c>
    </row>
    <row r="141" spans="1:7" x14ac:dyDescent="0.25">
      <c r="A141" s="13">
        <v>46070</v>
      </c>
      <c r="B141" s="10">
        <v>4609</v>
      </c>
      <c r="C141" s="11">
        <v>3559</v>
      </c>
      <c r="D141" s="12">
        <v>3892</v>
      </c>
      <c r="E141">
        <f t="shared" si="3"/>
        <v>1</v>
      </c>
      <c r="F141">
        <f t="shared" si="3"/>
        <v>0</v>
      </c>
      <c r="G141">
        <f t="shared" si="3"/>
        <v>0</v>
      </c>
    </row>
    <row r="142" spans="1:7" x14ac:dyDescent="0.25">
      <c r="A142" s="13">
        <v>46071</v>
      </c>
      <c r="B142" s="7">
        <v>4569</v>
      </c>
      <c r="C142" s="8">
        <v>2592</v>
      </c>
      <c r="D142" s="9">
        <v>4056</v>
      </c>
      <c r="E142">
        <f t="shared" si="3"/>
        <v>1</v>
      </c>
      <c r="F142">
        <f t="shared" si="3"/>
        <v>0</v>
      </c>
      <c r="G142">
        <f t="shared" si="3"/>
        <v>0</v>
      </c>
    </row>
    <row r="143" spans="1:7" x14ac:dyDescent="0.25">
      <c r="A143" s="13">
        <v>46072</v>
      </c>
      <c r="B143" s="10">
        <v>3112</v>
      </c>
      <c r="C143" s="11">
        <v>3121</v>
      </c>
      <c r="D143" s="12">
        <v>4435</v>
      </c>
      <c r="E143">
        <f t="shared" si="3"/>
        <v>0</v>
      </c>
      <c r="F143">
        <f t="shared" si="3"/>
        <v>0</v>
      </c>
      <c r="G143">
        <f t="shared" si="3"/>
        <v>1</v>
      </c>
    </row>
    <row r="144" spans="1:7" x14ac:dyDescent="0.25">
      <c r="A144" s="13">
        <v>46073</v>
      </c>
      <c r="B144" s="7">
        <v>3723</v>
      </c>
      <c r="C144" s="8">
        <v>4515</v>
      </c>
      <c r="D144" s="9">
        <v>4353</v>
      </c>
      <c r="E144">
        <f t="shared" si="3"/>
        <v>0</v>
      </c>
      <c r="F144">
        <f t="shared" si="3"/>
        <v>1</v>
      </c>
      <c r="G144">
        <f t="shared" si="3"/>
        <v>0</v>
      </c>
    </row>
    <row r="145" spans="1:7" x14ac:dyDescent="0.25">
      <c r="A145" s="13">
        <v>46074</v>
      </c>
      <c r="B145" s="10">
        <v>3787</v>
      </c>
      <c r="C145" s="11">
        <v>4484</v>
      </c>
      <c r="D145" s="12">
        <v>3867</v>
      </c>
      <c r="E145">
        <f t="shared" si="3"/>
        <v>0</v>
      </c>
      <c r="F145">
        <f t="shared" si="3"/>
        <v>1</v>
      </c>
      <c r="G145">
        <f t="shared" si="3"/>
        <v>0</v>
      </c>
    </row>
    <row r="146" spans="1:7" x14ac:dyDescent="0.25">
      <c r="A146" s="13">
        <v>46075</v>
      </c>
      <c r="B146" s="7">
        <v>4927</v>
      </c>
      <c r="C146" s="8">
        <v>3405</v>
      </c>
      <c r="D146" s="9">
        <v>4289</v>
      </c>
      <c r="E146">
        <f t="shared" si="3"/>
        <v>1</v>
      </c>
      <c r="F146">
        <f t="shared" si="3"/>
        <v>0</v>
      </c>
      <c r="G146">
        <f t="shared" si="3"/>
        <v>0</v>
      </c>
    </row>
    <row r="147" spans="1:7" x14ac:dyDescent="0.25">
      <c r="A147" s="13">
        <v>46076</v>
      </c>
      <c r="B147" s="10">
        <v>4555</v>
      </c>
      <c r="C147" s="11">
        <v>4814</v>
      </c>
      <c r="D147" s="12">
        <v>4125</v>
      </c>
      <c r="E147">
        <f t="shared" si="3"/>
        <v>0</v>
      </c>
      <c r="F147">
        <f t="shared" si="3"/>
        <v>1</v>
      </c>
      <c r="G147">
        <f t="shared" si="3"/>
        <v>0</v>
      </c>
    </row>
    <row r="148" spans="1:7" x14ac:dyDescent="0.25">
      <c r="A148" s="13">
        <v>46077</v>
      </c>
      <c r="B148" s="7">
        <v>4205</v>
      </c>
      <c r="C148" s="8">
        <v>4148</v>
      </c>
      <c r="D148" s="9">
        <v>3519</v>
      </c>
      <c r="E148">
        <f t="shared" si="3"/>
        <v>1</v>
      </c>
      <c r="F148">
        <f t="shared" si="3"/>
        <v>0</v>
      </c>
      <c r="G148">
        <f t="shared" si="3"/>
        <v>0</v>
      </c>
    </row>
    <row r="149" spans="1:7" x14ac:dyDescent="0.25">
      <c r="A149" s="13">
        <v>46078</v>
      </c>
      <c r="B149" s="10">
        <v>4770</v>
      </c>
      <c r="C149" s="11">
        <v>4280</v>
      </c>
      <c r="D149" s="12">
        <v>3718</v>
      </c>
      <c r="E149">
        <f t="shared" si="3"/>
        <v>1</v>
      </c>
      <c r="F149">
        <f t="shared" si="3"/>
        <v>0</v>
      </c>
      <c r="G149">
        <f t="shared" si="3"/>
        <v>0</v>
      </c>
    </row>
    <row r="150" spans="1:7" x14ac:dyDescent="0.25">
      <c r="A150" s="13">
        <v>46079</v>
      </c>
      <c r="B150" s="7">
        <v>3094</v>
      </c>
      <c r="C150" s="8">
        <v>2813</v>
      </c>
      <c r="D150" s="9">
        <v>4238</v>
      </c>
      <c r="E150">
        <f t="shared" si="3"/>
        <v>0</v>
      </c>
      <c r="F150">
        <f t="shared" si="3"/>
        <v>0</v>
      </c>
      <c r="G150">
        <f t="shared" si="3"/>
        <v>1</v>
      </c>
    </row>
    <row r="151" spans="1:7" x14ac:dyDescent="0.25">
      <c r="A151" s="13">
        <v>46080</v>
      </c>
      <c r="B151" s="10">
        <v>3193</v>
      </c>
      <c r="C151" s="11">
        <v>2618</v>
      </c>
      <c r="D151" s="12">
        <v>4263</v>
      </c>
      <c r="E151">
        <f t="shared" si="3"/>
        <v>0</v>
      </c>
      <c r="F151">
        <f t="shared" si="3"/>
        <v>0</v>
      </c>
      <c r="G151">
        <f t="shared" si="3"/>
        <v>1</v>
      </c>
    </row>
    <row r="152" spans="1:7" x14ac:dyDescent="0.25">
      <c r="A152" s="13">
        <v>46081</v>
      </c>
      <c r="B152" s="7">
        <v>4267</v>
      </c>
      <c r="C152" s="8">
        <v>2516</v>
      </c>
      <c r="D152" s="9">
        <v>4103</v>
      </c>
      <c r="E152">
        <f t="shared" si="3"/>
        <v>1</v>
      </c>
      <c r="F152">
        <f t="shared" si="3"/>
        <v>0</v>
      </c>
      <c r="G152">
        <f t="shared" si="3"/>
        <v>0</v>
      </c>
    </row>
    <row r="153" spans="1:7" x14ac:dyDescent="0.25">
      <c r="A153" s="13">
        <v>46082</v>
      </c>
      <c r="B153" s="10">
        <v>4436</v>
      </c>
      <c r="C153" s="11">
        <v>3240</v>
      </c>
      <c r="D153" s="12">
        <v>3966</v>
      </c>
      <c r="E153">
        <f t="shared" si="3"/>
        <v>1</v>
      </c>
      <c r="F153">
        <f t="shared" si="3"/>
        <v>0</v>
      </c>
      <c r="G153">
        <f t="shared" si="3"/>
        <v>0</v>
      </c>
    </row>
    <row r="154" spans="1:7" x14ac:dyDescent="0.25">
      <c r="A154" s="13">
        <v>46083</v>
      </c>
      <c r="B154" s="7">
        <v>4542</v>
      </c>
      <c r="C154" s="8">
        <v>2622</v>
      </c>
      <c r="D154" s="9">
        <v>4455</v>
      </c>
      <c r="E154">
        <f t="shared" si="3"/>
        <v>1</v>
      </c>
      <c r="F154">
        <f t="shared" si="3"/>
        <v>0</v>
      </c>
      <c r="G154">
        <f t="shared" si="3"/>
        <v>0</v>
      </c>
    </row>
    <row r="155" spans="1:7" x14ac:dyDescent="0.25">
      <c r="A155" s="13">
        <v>46084</v>
      </c>
      <c r="B155" s="10">
        <v>3141</v>
      </c>
      <c r="C155" s="11">
        <v>4108</v>
      </c>
      <c r="D155" s="12">
        <v>4415</v>
      </c>
      <c r="E155">
        <f t="shared" si="3"/>
        <v>0</v>
      </c>
      <c r="F155">
        <f t="shared" si="3"/>
        <v>0</v>
      </c>
      <c r="G155">
        <f t="shared" si="3"/>
        <v>1</v>
      </c>
    </row>
    <row r="156" spans="1:7" x14ac:dyDescent="0.25">
      <c r="A156" s="13">
        <v>46085</v>
      </c>
      <c r="B156" s="7">
        <v>4627</v>
      </c>
      <c r="C156" s="8">
        <v>2731</v>
      </c>
      <c r="D156" s="9">
        <v>4065</v>
      </c>
      <c r="E156">
        <f t="shared" si="3"/>
        <v>1</v>
      </c>
      <c r="F156">
        <f t="shared" si="3"/>
        <v>0</v>
      </c>
      <c r="G156">
        <f t="shared" si="3"/>
        <v>0</v>
      </c>
    </row>
    <row r="157" spans="1:7" x14ac:dyDescent="0.25">
      <c r="A157" s="13">
        <v>46086</v>
      </c>
      <c r="B157" s="10">
        <v>4379</v>
      </c>
      <c r="C157" s="11">
        <v>2834</v>
      </c>
      <c r="D157" s="12">
        <v>4338</v>
      </c>
      <c r="E157">
        <f t="shared" si="3"/>
        <v>1</v>
      </c>
      <c r="F157">
        <f t="shared" si="3"/>
        <v>0</v>
      </c>
      <c r="G157">
        <f t="shared" si="3"/>
        <v>0</v>
      </c>
    </row>
    <row r="158" spans="1:7" x14ac:dyDescent="0.25">
      <c r="A158" s="13">
        <v>46087</v>
      </c>
      <c r="B158" s="7">
        <v>4860</v>
      </c>
      <c r="C158" s="8">
        <v>4815</v>
      </c>
      <c r="D158" s="9">
        <v>3693</v>
      </c>
      <c r="E158">
        <f t="shared" si="3"/>
        <v>1</v>
      </c>
      <c r="F158">
        <f t="shared" si="3"/>
        <v>0</v>
      </c>
      <c r="G158">
        <f t="shared" si="3"/>
        <v>0</v>
      </c>
    </row>
    <row r="159" spans="1:7" x14ac:dyDescent="0.25">
      <c r="A159" s="13">
        <v>46088</v>
      </c>
      <c r="B159" s="10">
        <v>4558</v>
      </c>
      <c r="C159" s="11">
        <v>2729</v>
      </c>
      <c r="D159" s="12">
        <v>3558</v>
      </c>
      <c r="E159">
        <f t="shared" si="3"/>
        <v>1</v>
      </c>
      <c r="F159">
        <f t="shared" si="3"/>
        <v>0</v>
      </c>
      <c r="G159">
        <f t="shared" si="3"/>
        <v>0</v>
      </c>
    </row>
    <row r="160" spans="1:7" x14ac:dyDescent="0.25">
      <c r="A160" s="13">
        <v>46089</v>
      </c>
      <c r="B160" s="7">
        <v>4818</v>
      </c>
      <c r="C160" s="8">
        <v>4126</v>
      </c>
      <c r="D160" s="9">
        <v>4477</v>
      </c>
      <c r="E160">
        <f t="shared" si="3"/>
        <v>1</v>
      </c>
      <c r="F160">
        <f t="shared" si="3"/>
        <v>0</v>
      </c>
      <c r="G160">
        <f t="shared" si="3"/>
        <v>0</v>
      </c>
    </row>
    <row r="161" spans="1:7" x14ac:dyDescent="0.25">
      <c r="A161" s="13">
        <v>46090</v>
      </c>
      <c r="B161" s="10">
        <v>4873</v>
      </c>
      <c r="C161" s="11">
        <v>3127</v>
      </c>
      <c r="D161" s="12">
        <v>4321</v>
      </c>
      <c r="E161">
        <f t="shared" si="3"/>
        <v>1</v>
      </c>
      <c r="F161">
        <f t="shared" si="3"/>
        <v>0</v>
      </c>
      <c r="G161">
        <f t="shared" si="3"/>
        <v>0</v>
      </c>
    </row>
    <row r="162" spans="1:7" x14ac:dyDescent="0.25">
      <c r="A162" s="13">
        <v>46091</v>
      </c>
      <c r="B162" s="7">
        <v>3002</v>
      </c>
      <c r="C162" s="8">
        <v>2612</v>
      </c>
      <c r="D162" s="9">
        <v>3901</v>
      </c>
      <c r="E162">
        <f t="shared" si="3"/>
        <v>0</v>
      </c>
      <c r="F162">
        <f t="shared" si="3"/>
        <v>0</v>
      </c>
      <c r="G162">
        <f t="shared" si="3"/>
        <v>1</v>
      </c>
    </row>
    <row r="163" spans="1:7" x14ac:dyDescent="0.25">
      <c r="A163" s="13">
        <v>46092</v>
      </c>
      <c r="B163" s="10">
        <v>4003</v>
      </c>
      <c r="C163" s="11">
        <v>3600</v>
      </c>
      <c r="D163" s="12">
        <v>3647</v>
      </c>
      <c r="E163">
        <f t="shared" si="3"/>
        <v>1</v>
      </c>
      <c r="F163">
        <f t="shared" si="3"/>
        <v>0</v>
      </c>
      <c r="G163">
        <f t="shared" si="3"/>
        <v>0</v>
      </c>
    </row>
    <row r="164" spans="1:7" x14ac:dyDescent="0.25">
      <c r="A164" s="13">
        <v>46093</v>
      </c>
      <c r="B164" s="7">
        <v>3601</v>
      </c>
      <c r="C164" s="8">
        <v>3048</v>
      </c>
      <c r="D164" s="9">
        <v>4215</v>
      </c>
      <c r="E164">
        <f t="shared" si="3"/>
        <v>0</v>
      </c>
      <c r="F164">
        <f t="shared" si="3"/>
        <v>0</v>
      </c>
      <c r="G164">
        <f t="shared" si="3"/>
        <v>1</v>
      </c>
    </row>
    <row r="165" spans="1:7" x14ac:dyDescent="0.25">
      <c r="A165" s="13">
        <v>46094</v>
      </c>
      <c r="B165" s="10">
        <v>3733</v>
      </c>
      <c r="C165" s="11">
        <v>2847</v>
      </c>
      <c r="D165" s="12">
        <v>3617</v>
      </c>
      <c r="E165">
        <f t="shared" si="3"/>
        <v>1</v>
      </c>
      <c r="F165">
        <f t="shared" si="3"/>
        <v>0</v>
      </c>
      <c r="G165">
        <f t="shared" si="3"/>
        <v>0</v>
      </c>
    </row>
    <row r="166" spans="1:7" x14ac:dyDescent="0.25">
      <c r="A166" s="13">
        <v>46095</v>
      </c>
      <c r="B166" s="7">
        <v>3930</v>
      </c>
      <c r="C166" s="8">
        <v>2588</v>
      </c>
      <c r="D166" s="9">
        <v>3680</v>
      </c>
      <c r="E166">
        <f t="shared" si="3"/>
        <v>1</v>
      </c>
      <c r="F166">
        <f t="shared" si="3"/>
        <v>0</v>
      </c>
      <c r="G166">
        <f t="shared" si="3"/>
        <v>0</v>
      </c>
    </row>
    <row r="167" spans="1:7" x14ac:dyDescent="0.25">
      <c r="A167" s="13">
        <v>46096</v>
      </c>
      <c r="B167" s="10">
        <v>3423</v>
      </c>
      <c r="C167" s="11">
        <v>3459</v>
      </c>
      <c r="D167" s="12">
        <v>4045</v>
      </c>
      <c r="E167">
        <f t="shared" si="3"/>
        <v>0</v>
      </c>
      <c r="F167">
        <f t="shared" si="3"/>
        <v>0</v>
      </c>
      <c r="G167">
        <f t="shared" si="3"/>
        <v>1</v>
      </c>
    </row>
    <row r="168" spans="1:7" x14ac:dyDescent="0.25">
      <c r="A168" s="13">
        <v>46097</v>
      </c>
      <c r="B168" s="7">
        <v>4757</v>
      </c>
      <c r="C168" s="8">
        <v>4489</v>
      </c>
      <c r="D168" s="9">
        <v>3724</v>
      </c>
      <c r="E168">
        <f t="shared" si="3"/>
        <v>1</v>
      </c>
      <c r="F168">
        <f t="shared" si="3"/>
        <v>0</v>
      </c>
      <c r="G168">
        <f t="shared" si="3"/>
        <v>0</v>
      </c>
    </row>
    <row r="169" spans="1:7" x14ac:dyDescent="0.25">
      <c r="A169" s="13">
        <v>46098</v>
      </c>
      <c r="B169" s="10">
        <v>3712</v>
      </c>
      <c r="C169" s="11">
        <v>3899</v>
      </c>
      <c r="D169" s="12">
        <v>4461</v>
      </c>
      <c r="E169">
        <f t="shared" si="3"/>
        <v>0</v>
      </c>
      <c r="F169">
        <f t="shared" si="3"/>
        <v>0</v>
      </c>
      <c r="G169">
        <f t="shared" si="3"/>
        <v>1</v>
      </c>
    </row>
    <row r="170" spans="1:7" x14ac:dyDescent="0.25">
      <c r="A170" s="13">
        <v>46099</v>
      </c>
      <c r="B170" s="7">
        <v>4869</v>
      </c>
      <c r="C170" s="8">
        <v>4425</v>
      </c>
      <c r="D170" s="9">
        <v>4113</v>
      </c>
      <c r="E170">
        <f t="shared" si="3"/>
        <v>1</v>
      </c>
      <c r="F170">
        <f t="shared" si="3"/>
        <v>0</v>
      </c>
      <c r="G170">
        <f t="shared" si="3"/>
        <v>0</v>
      </c>
    </row>
    <row r="171" spans="1:7" x14ac:dyDescent="0.25">
      <c r="A171" s="13">
        <v>46100</v>
      </c>
      <c r="B171" s="10">
        <v>4292</v>
      </c>
      <c r="C171" s="11">
        <v>3011</v>
      </c>
      <c r="D171" s="12">
        <v>3601</v>
      </c>
      <c r="E171">
        <f t="shared" si="3"/>
        <v>1</v>
      </c>
      <c r="F171">
        <f t="shared" si="3"/>
        <v>0</v>
      </c>
      <c r="G171">
        <f t="shared" si="3"/>
        <v>0</v>
      </c>
    </row>
    <row r="172" spans="1:7" x14ac:dyDescent="0.25">
      <c r="A172" s="13">
        <v>46101</v>
      </c>
      <c r="B172" s="7">
        <v>3522</v>
      </c>
      <c r="C172" s="8">
        <v>2877</v>
      </c>
      <c r="D172" s="9">
        <v>3857</v>
      </c>
      <c r="E172">
        <f t="shared" si="3"/>
        <v>0</v>
      </c>
      <c r="F172">
        <f t="shared" si="3"/>
        <v>0</v>
      </c>
      <c r="G172">
        <f t="shared" si="3"/>
        <v>1</v>
      </c>
    </row>
    <row r="173" spans="1:7" x14ac:dyDescent="0.25">
      <c r="A173" s="13">
        <v>46102</v>
      </c>
      <c r="B173" s="10">
        <v>4008</v>
      </c>
      <c r="C173" s="11">
        <v>3368</v>
      </c>
      <c r="D173" s="12">
        <v>4183</v>
      </c>
      <c r="E173">
        <f t="shared" si="3"/>
        <v>0</v>
      </c>
      <c r="F173">
        <f t="shared" si="3"/>
        <v>0</v>
      </c>
      <c r="G173">
        <f t="shared" si="3"/>
        <v>1</v>
      </c>
    </row>
    <row r="174" spans="1:7" x14ac:dyDescent="0.25">
      <c r="A174" s="13">
        <v>46103</v>
      </c>
      <c r="B174" s="7">
        <v>3351</v>
      </c>
      <c r="C174" s="8">
        <v>3838</v>
      </c>
      <c r="D174" s="9">
        <v>4400</v>
      </c>
      <c r="E174">
        <f t="shared" si="3"/>
        <v>0</v>
      </c>
      <c r="F174">
        <f t="shared" si="3"/>
        <v>0</v>
      </c>
      <c r="G174">
        <f t="shared" si="3"/>
        <v>1</v>
      </c>
    </row>
    <row r="175" spans="1:7" x14ac:dyDescent="0.25">
      <c r="A175" s="13">
        <v>46104</v>
      </c>
      <c r="B175" s="10">
        <v>4580</v>
      </c>
      <c r="C175" s="11">
        <v>3097</v>
      </c>
      <c r="D175" s="12">
        <v>4102</v>
      </c>
      <c r="E175">
        <f t="shared" si="3"/>
        <v>1</v>
      </c>
      <c r="F175">
        <f t="shared" si="3"/>
        <v>0</v>
      </c>
      <c r="G175">
        <f t="shared" si="3"/>
        <v>0</v>
      </c>
    </row>
    <row r="176" spans="1:7" x14ac:dyDescent="0.25">
      <c r="A176" s="13">
        <v>46105</v>
      </c>
      <c r="B176" s="7">
        <v>3829</v>
      </c>
      <c r="C176" s="8">
        <v>3345</v>
      </c>
      <c r="D176" s="9">
        <v>3987</v>
      </c>
      <c r="E176">
        <f t="shared" si="3"/>
        <v>0</v>
      </c>
      <c r="F176">
        <f t="shared" si="3"/>
        <v>0</v>
      </c>
      <c r="G176">
        <f t="shared" si="3"/>
        <v>1</v>
      </c>
    </row>
    <row r="177" spans="1:7" x14ac:dyDescent="0.25">
      <c r="A177" s="13">
        <v>46106</v>
      </c>
      <c r="B177" s="10">
        <v>3744</v>
      </c>
      <c r="C177" s="11">
        <v>4433</v>
      </c>
      <c r="D177" s="12">
        <v>3926</v>
      </c>
      <c r="E177">
        <f t="shared" si="3"/>
        <v>0</v>
      </c>
      <c r="F177">
        <f t="shared" si="3"/>
        <v>1</v>
      </c>
      <c r="G177">
        <f t="shared" si="3"/>
        <v>0</v>
      </c>
    </row>
    <row r="178" spans="1:7" x14ac:dyDescent="0.25">
      <c r="A178" s="13">
        <v>46107</v>
      </c>
      <c r="B178" s="7">
        <v>4501</v>
      </c>
      <c r="C178" s="8">
        <v>4285</v>
      </c>
      <c r="D178" s="9">
        <v>3619</v>
      </c>
      <c r="E178">
        <f t="shared" si="3"/>
        <v>1</v>
      </c>
      <c r="F178">
        <f t="shared" si="3"/>
        <v>0</v>
      </c>
      <c r="G178">
        <f t="shared" si="3"/>
        <v>0</v>
      </c>
    </row>
    <row r="179" spans="1:7" x14ac:dyDescent="0.25">
      <c r="A179" s="13">
        <v>46108</v>
      </c>
      <c r="B179" s="10">
        <v>4726</v>
      </c>
      <c r="C179" s="11">
        <v>3226</v>
      </c>
      <c r="D179" s="12">
        <v>4435</v>
      </c>
      <c r="E179">
        <f t="shared" si="3"/>
        <v>1</v>
      </c>
      <c r="F179">
        <f t="shared" si="3"/>
        <v>0</v>
      </c>
      <c r="G179">
        <f t="shared" si="3"/>
        <v>0</v>
      </c>
    </row>
    <row r="180" spans="1:7" x14ac:dyDescent="0.25">
      <c r="A180" s="13">
        <v>46109</v>
      </c>
      <c r="B180" s="7">
        <v>3730</v>
      </c>
      <c r="C180" s="8">
        <v>4461</v>
      </c>
      <c r="D180" s="9">
        <v>4298</v>
      </c>
      <c r="E180">
        <f t="shared" si="3"/>
        <v>0</v>
      </c>
      <c r="F180">
        <f t="shared" si="3"/>
        <v>1</v>
      </c>
      <c r="G180">
        <f t="shared" si="3"/>
        <v>0</v>
      </c>
    </row>
    <row r="181" spans="1:7" x14ac:dyDescent="0.25">
      <c r="A181" s="13">
        <v>46110</v>
      </c>
      <c r="B181" s="10">
        <v>3956</v>
      </c>
      <c r="C181" s="11">
        <v>3914</v>
      </c>
      <c r="D181" s="12">
        <v>3766</v>
      </c>
      <c r="E181">
        <f t="shared" si="3"/>
        <v>1</v>
      </c>
      <c r="F181">
        <f t="shared" si="3"/>
        <v>0</v>
      </c>
      <c r="G181">
        <f t="shared" si="3"/>
        <v>0</v>
      </c>
    </row>
    <row r="182" spans="1:7" x14ac:dyDescent="0.25">
      <c r="A182" s="13">
        <v>46111</v>
      </c>
      <c r="B182" s="7">
        <v>4579</v>
      </c>
      <c r="C182" s="8">
        <v>4170</v>
      </c>
      <c r="D182" s="9">
        <v>3799</v>
      </c>
      <c r="E182">
        <f t="shared" si="3"/>
        <v>1</v>
      </c>
      <c r="F182">
        <f t="shared" si="3"/>
        <v>0</v>
      </c>
      <c r="G182">
        <f t="shared" si="3"/>
        <v>0</v>
      </c>
    </row>
    <row r="183" spans="1:7" x14ac:dyDescent="0.25">
      <c r="A183" s="13">
        <v>46112</v>
      </c>
      <c r="B183" s="1">
        <v>4997</v>
      </c>
      <c r="C183" s="2">
        <v>3750</v>
      </c>
      <c r="D183" s="3">
        <v>4428</v>
      </c>
      <c r="E183">
        <f>IF(B183=MAX($B183:$D183),1,0)</f>
        <v>1</v>
      </c>
      <c r="F183">
        <f t="shared" si="3"/>
        <v>0</v>
      </c>
      <c r="G183">
        <f t="shared" si="3"/>
        <v>0</v>
      </c>
    </row>
    <row r="184" spans="1:7" x14ac:dyDescent="0.25">
      <c r="E184">
        <f>SUM(E2:E182)</f>
        <v>78</v>
      </c>
      <c r="F184">
        <f t="shared" ref="F184:G184" si="4">SUM(F2:F182)</f>
        <v>48</v>
      </c>
      <c r="G184">
        <f t="shared" si="4"/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4F3C-AC28-4C5B-96E8-D0690FF18F29}">
  <dimension ref="A1:J183"/>
  <sheetViews>
    <sheetView topLeftCell="A13" workbookViewId="0">
      <selection activeCell="G8" sqref="G8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7" max="7" width="17.7109375" bestFit="1" customWidth="1"/>
    <col min="8" max="8" width="16" bestFit="1" customWidth="1"/>
    <col min="9" max="9" width="21.85546875" bestFit="1" customWidth="1"/>
    <col min="10" max="10" width="18.5703125" bestFit="1" customWidth="1"/>
    <col min="11" max="24" width="21.85546875" bestFit="1" customWidth="1"/>
    <col min="25" max="25" width="23.140625" bestFit="1" customWidth="1"/>
    <col min="26" max="26" width="28.85546875" bestFit="1" customWidth="1"/>
    <col min="27" max="28" width="25.7109375" bestFit="1" customWidth="1"/>
  </cols>
  <sheetData>
    <row r="1" spans="1:10" x14ac:dyDescent="0.25">
      <c r="A1" t="s">
        <v>3</v>
      </c>
      <c r="B1" s="4" t="s">
        <v>0</v>
      </c>
      <c r="C1" s="5" t="s">
        <v>1</v>
      </c>
      <c r="D1" s="6" t="s">
        <v>2</v>
      </c>
    </row>
    <row r="2" spans="1:10" x14ac:dyDescent="0.25">
      <c r="A2" s="13">
        <v>45931</v>
      </c>
      <c r="B2" s="7">
        <v>3486</v>
      </c>
      <c r="C2" s="8">
        <v>3232</v>
      </c>
      <c r="D2" s="9">
        <v>4197</v>
      </c>
    </row>
    <row r="3" spans="1:10" x14ac:dyDescent="0.25">
      <c r="A3" s="13">
        <v>45932</v>
      </c>
      <c r="B3" s="10">
        <v>4960</v>
      </c>
      <c r="C3" s="11">
        <v>2504</v>
      </c>
      <c r="D3" s="12">
        <v>3583</v>
      </c>
    </row>
    <row r="4" spans="1:10" x14ac:dyDescent="0.25">
      <c r="A4" s="13">
        <v>45933</v>
      </c>
      <c r="B4" s="7">
        <v>3662</v>
      </c>
      <c r="C4" s="8">
        <v>4613</v>
      </c>
      <c r="D4" s="9">
        <v>3929</v>
      </c>
      <c r="G4" s="16" t="s">
        <v>11</v>
      </c>
      <c r="H4" t="s">
        <v>19</v>
      </c>
      <c r="I4" t="s">
        <v>20</v>
      </c>
      <c r="J4" t="s">
        <v>21</v>
      </c>
    </row>
    <row r="5" spans="1:10" x14ac:dyDescent="0.25">
      <c r="A5" s="13">
        <v>45934</v>
      </c>
      <c r="B5" s="10">
        <v>4123</v>
      </c>
      <c r="C5" s="11">
        <v>4186</v>
      </c>
      <c r="D5" s="12">
        <v>3527</v>
      </c>
      <c r="G5" s="17" t="s">
        <v>13</v>
      </c>
      <c r="H5" s="14">
        <v>121697</v>
      </c>
      <c r="I5" s="14">
        <v>119458</v>
      </c>
      <c r="J5" s="14">
        <v>121701</v>
      </c>
    </row>
    <row r="6" spans="1:10" x14ac:dyDescent="0.25">
      <c r="A6" s="13">
        <v>45935</v>
      </c>
      <c r="B6" s="7">
        <v>4729</v>
      </c>
      <c r="C6" s="8">
        <v>3850</v>
      </c>
      <c r="D6" s="9">
        <v>4169</v>
      </c>
      <c r="G6" s="17" t="s">
        <v>14</v>
      </c>
      <c r="H6" s="14">
        <v>113335</v>
      </c>
      <c r="I6" s="14">
        <v>106231</v>
      </c>
      <c r="J6" s="14">
        <v>113728</v>
      </c>
    </row>
    <row r="7" spans="1:10" x14ac:dyDescent="0.25">
      <c r="A7" s="13">
        <v>45936</v>
      </c>
      <c r="B7" s="10">
        <v>4219</v>
      </c>
      <c r="C7" s="11">
        <v>4006</v>
      </c>
      <c r="D7" s="12">
        <v>3604</v>
      </c>
      <c r="G7" s="17" t="s">
        <v>15</v>
      </c>
      <c r="H7" s="14">
        <v>129079</v>
      </c>
      <c r="I7" s="14">
        <v>109074</v>
      </c>
      <c r="J7" s="14">
        <v>125092</v>
      </c>
    </row>
    <row r="8" spans="1:10" x14ac:dyDescent="0.25">
      <c r="A8" s="13">
        <v>45937</v>
      </c>
      <c r="B8" s="7">
        <v>4159</v>
      </c>
      <c r="C8" s="8">
        <v>4617</v>
      </c>
      <c r="D8" s="9">
        <v>4245</v>
      </c>
      <c r="G8" s="17" t="s">
        <v>16</v>
      </c>
      <c r="H8" s="14">
        <v>124330</v>
      </c>
      <c r="I8" s="14">
        <v>114669</v>
      </c>
      <c r="J8" s="14">
        <v>122854</v>
      </c>
    </row>
    <row r="9" spans="1:10" x14ac:dyDescent="0.25">
      <c r="A9" s="13">
        <v>45938</v>
      </c>
      <c r="B9" s="10">
        <v>4831</v>
      </c>
      <c r="C9" s="11">
        <v>2933</v>
      </c>
      <c r="D9" s="12">
        <v>4396</v>
      </c>
      <c r="G9" s="17" t="s">
        <v>17</v>
      </c>
      <c r="H9" s="14">
        <v>118834</v>
      </c>
      <c r="I9" s="14">
        <v>111871</v>
      </c>
      <c r="J9" s="14">
        <v>120859</v>
      </c>
    </row>
    <row r="10" spans="1:10" x14ac:dyDescent="0.25">
      <c r="A10" s="13">
        <v>45939</v>
      </c>
      <c r="B10" s="7">
        <v>3679</v>
      </c>
      <c r="C10" s="8">
        <v>4671</v>
      </c>
      <c r="D10" s="9">
        <v>4429</v>
      </c>
      <c r="G10" s="17" t="s">
        <v>18</v>
      </c>
      <c r="H10" s="14">
        <v>125817</v>
      </c>
      <c r="I10" s="14">
        <v>112122</v>
      </c>
      <c r="J10" s="14">
        <v>124476</v>
      </c>
    </row>
    <row r="11" spans="1:10" x14ac:dyDescent="0.25">
      <c r="A11" s="13">
        <v>45940</v>
      </c>
      <c r="B11" s="10">
        <v>4005</v>
      </c>
      <c r="C11" s="11">
        <v>4305</v>
      </c>
      <c r="D11" s="12">
        <v>3752</v>
      </c>
      <c r="G11" s="17" t="s">
        <v>12</v>
      </c>
      <c r="H11" s="14">
        <v>733092</v>
      </c>
      <c r="I11" s="14">
        <v>673425</v>
      </c>
      <c r="J11" s="14">
        <v>728710</v>
      </c>
    </row>
    <row r="12" spans="1:10" x14ac:dyDescent="0.25">
      <c r="A12" s="13">
        <v>45941</v>
      </c>
      <c r="B12" s="7">
        <v>3943</v>
      </c>
      <c r="C12" s="8">
        <v>3667</v>
      </c>
      <c r="D12" s="9">
        <v>3663</v>
      </c>
    </row>
    <row r="13" spans="1:10" x14ac:dyDescent="0.25">
      <c r="A13" s="13">
        <v>45942</v>
      </c>
      <c r="B13" s="10">
        <v>3904</v>
      </c>
      <c r="C13" s="11">
        <v>3432</v>
      </c>
      <c r="D13" s="12">
        <v>4493</v>
      </c>
      <c r="H13" t="s">
        <v>0</v>
      </c>
      <c r="I13" t="s">
        <v>1</v>
      </c>
      <c r="J13" t="s">
        <v>2</v>
      </c>
    </row>
    <row r="14" spans="1:10" x14ac:dyDescent="0.25">
      <c r="A14" s="13">
        <v>45943</v>
      </c>
      <c r="B14" s="7">
        <v>4521</v>
      </c>
      <c r="C14" s="8">
        <v>3098</v>
      </c>
      <c r="D14" s="9">
        <v>4316</v>
      </c>
      <c r="G14" s="17" t="s">
        <v>13</v>
      </c>
      <c r="H14" s="14">
        <v>121697</v>
      </c>
      <c r="I14" s="14">
        <v>119458</v>
      </c>
      <c r="J14" s="14">
        <v>121701</v>
      </c>
    </row>
    <row r="15" spans="1:10" x14ac:dyDescent="0.25">
      <c r="A15" s="13">
        <v>45944</v>
      </c>
      <c r="B15" s="10">
        <v>3388</v>
      </c>
      <c r="C15" s="11">
        <v>4492</v>
      </c>
      <c r="D15" s="12">
        <v>3501</v>
      </c>
      <c r="G15" s="17" t="s">
        <v>14</v>
      </c>
      <c r="H15" s="14">
        <v>113335</v>
      </c>
      <c r="I15" s="14">
        <v>106231</v>
      </c>
      <c r="J15" s="14">
        <v>113728</v>
      </c>
    </row>
    <row r="16" spans="1:10" x14ac:dyDescent="0.25">
      <c r="A16" s="13">
        <v>45945</v>
      </c>
      <c r="B16" s="7">
        <v>4550</v>
      </c>
      <c r="C16" s="8">
        <v>3393</v>
      </c>
      <c r="D16" s="9">
        <v>4195</v>
      </c>
      <c r="G16" s="17" t="s">
        <v>15</v>
      </c>
      <c r="H16" s="14">
        <v>129079</v>
      </c>
      <c r="I16" s="14">
        <v>109074</v>
      </c>
      <c r="J16" s="14">
        <v>125092</v>
      </c>
    </row>
    <row r="17" spans="1:10" x14ac:dyDescent="0.25">
      <c r="A17" s="13">
        <v>45946</v>
      </c>
      <c r="B17" s="10">
        <v>3471</v>
      </c>
      <c r="C17" s="11">
        <v>2930</v>
      </c>
      <c r="D17" s="12">
        <v>3843</v>
      </c>
      <c r="G17" s="17" t="s">
        <v>16</v>
      </c>
      <c r="H17" s="14">
        <v>124330</v>
      </c>
      <c r="I17" s="14">
        <v>114669</v>
      </c>
      <c r="J17" s="14">
        <v>122854</v>
      </c>
    </row>
    <row r="18" spans="1:10" x14ac:dyDescent="0.25">
      <c r="A18" s="13">
        <v>45947</v>
      </c>
      <c r="B18" s="7">
        <v>3774</v>
      </c>
      <c r="C18" s="8">
        <v>3220</v>
      </c>
      <c r="D18" s="9">
        <v>3684</v>
      </c>
      <c r="G18" s="17" t="s">
        <v>17</v>
      </c>
      <c r="H18" s="14">
        <v>118834</v>
      </c>
      <c r="I18" s="14">
        <v>111871</v>
      </c>
      <c r="J18" s="14">
        <v>120859</v>
      </c>
    </row>
    <row r="19" spans="1:10" x14ac:dyDescent="0.25">
      <c r="A19" s="13">
        <v>45948</v>
      </c>
      <c r="B19" s="10">
        <v>4296</v>
      </c>
      <c r="C19" s="11">
        <v>3366</v>
      </c>
      <c r="D19" s="12">
        <v>3726</v>
      </c>
      <c r="G19" s="17" t="s">
        <v>18</v>
      </c>
      <c r="H19" s="14">
        <v>125817</v>
      </c>
      <c r="I19" s="14">
        <v>112122</v>
      </c>
      <c r="J19" s="14">
        <v>124476</v>
      </c>
    </row>
    <row r="20" spans="1:10" x14ac:dyDescent="0.25">
      <c r="A20" s="13">
        <v>45949</v>
      </c>
      <c r="B20" s="7">
        <v>4491</v>
      </c>
      <c r="C20" s="8">
        <v>3368</v>
      </c>
      <c r="D20" s="9">
        <v>4178</v>
      </c>
    </row>
    <row r="21" spans="1:10" x14ac:dyDescent="0.25">
      <c r="A21" s="13">
        <v>45950</v>
      </c>
      <c r="B21" s="10">
        <v>3951</v>
      </c>
      <c r="C21" s="11">
        <v>3372</v>
      </c>
      <c r="D21" s="12">
        <v>3891</v>
      </c>
    </row>
    <row r="22" spans="1:10" x14ac:dyDescent="0.25">
      <c r="A22" s="13">
        <v>45951</v>
      </c>
      <c r="B22" s="7">
        <v>4491</v>
      </c>
      <c r="C22" s="8">
        <v>3752</v>
      </c>
      <c r="D22" s="9">
        <v>3860</v>
      </c>
    </row>
    <row r="23" spans="1:10" x14ac:dyDescent="0.25">
      <c r="A23" s="13">
        <v>45952</v>
      </c>
      <c r="B23" s="10">
        <v>3653</v>
      </c>
      <c r="C23" s="11">
        <v>4480</v>
      </c>
      <c r="D23" s="12">
        <v>3510</v>
      </c>
    </row>
    <row r="24" spans="1:10" x14ac:dyDescent="0.25">
      <c r="A24" s="13">
        <v>45953</v>
      </c>
      <c r="B24" s="7">
        <v>3848</v>
      </c>
      <c r="C24" s="8">
        <v>4019</v>
      </c>
      <c r="D24" s="9">
        <v>3715</v>
      </c>
    </row>
    <row r="25" spans="1:10" x14ac:dyDescent="0.25">
      <c r="A25" s="13">
        <v>45954</v>
      </c>
      <c r="B25" s="10">
        <v>3915</v>
      </c>
      <c r="C25" s="11">
        <v>4415</v>
      </c>
      <c r="D25" s="12">
        <v>4302</v>
      </c>
    </row>
    <row r="26" spans="1:10" x14ac:dyDescent="0.25">
      <c r="A26" s="13">
        <v>45955</v>
      </c>
      <c r="B26" s="7">
        <v>3876</v>
      </c>
      <c r="C26" s="8">
        <v>4802</v>
      </c>
      <c r="D26" s="9">
        <v>3939</v>
      </c>
    </row>
    <row r="27" spans="1:10" x14ac:dyDescent="0.25">
      <c r="A27" s="13">
        <v>45956</v>
      </c>
      <c r="B27" s="10">
        <v>4335</v>
      </c>
      <c r="C27" s="11">
        <v>2508</v>
      </c>
      <c r="D27" s="12">
        <v>4460</v>
      </c>
    </row>
    <row r="28" spans="1:10" x14ac:dyDescent="0.25">
      <c r="A28" s="13">
        <v>45957</v>
      </c>
      <c r="B28" s="7">
        <v>3418</v>
      </c>
      <c r="C28" s="8">
        <v>3594</v>
      </c>
      <c r="D28" s="9">
        <v>3846</v>
      </c>
    </row>
    <row r="29" spans="1:10" x14ac:dyDescent="0.25">
      <c r="A29" s="13">
        <v>45958</v>
      </c>
      <c r="B29" s="10">
        <v>3230</v>
      </c>
      <c r="C29" s="11">
        <v>2774</v>
      </c>
      <c r="D29" s="12">
        <v>4242</v>
      </c>
    </row>
    <row r="30" spans="1:10" x14ac:dyDescent="0.25">
      <c r="A30" s="13">
        <v>45959</v>
      </c>
      <c r="B30" s="7">
        <v>3066</v>
      </c>
      <c r="C30" s="8">
        <v>3374</v>
      </c>
      <c r="D30" s="9">
        <v>3664</v>
      </c>
    </row>
    <row r="31" spans="1:10" x14ac:dyDescent="0.25">
      <c r="A31" s="13">
        <v>45960</v>
      </c>
      <c r="B31" s="10">
        <v>4823</v>
      </c>
      <c r="C31" s="11">
        <v>4830</v>
      </c>
      <c r="D31" s="12">
        <v>4315</v>
      </c>
    </row>
    <row r="32" spans="1:10" x14ac:dyDescent="0.25">
      <c r="A32" s="13">
        <v>45961</v>
      </c>
      <c r="B32" s="7">
        <v>3533</v>
      </c>
      <c r="C32" s="8">
        <v>2866</v>
      </c>
      <c r="D32" s="9">
        <v>3680</v>
      </c>
    </row>
    <row r="33" spans="1:4" x14ac:dyDescent="0.25">
      <c r="A33" s="13">
        <v>45962</v>
      </c>
      <c r="B33" s="10">
        <v>4965</v>
      </c>
      <c r="C33" s="11">
        <v>4199</v>
      </c>
      <c r="D33" s="12">
        <v>4055</v>
      </c>
    </row>
    <row r="34" spans="1:4" x14ac:dyDescent="0.25">
      <c r="A34" s="13">
        <v>45963</v>
      </c>
      <c r="B34" s="7">
        <v>4813</v>
      </c>
      <c r="C34" s="8">
        <v>4912</v>
      </c>
      <c r="D34" s="9">
        <v>4436</v>
      </c>
    </row>
    <row r="35" spans="1:4" x14ac:dyDescent="0.25">
      <c r="A35" s="13">
        <v>45964</v>
      </c>
      <c r="B35" s="10">
        <v>3837</v>
      </c>
      <c r="C35" s="11">
        <v>2720</v>
      </c>
      <c r="D35" s="12">
        <v>4330</v>
      </c>
    </row>
    <row r="36" spans="1:4" x14ac:dyDescent="0.25">
      <c r="A36" s="13">
        <v>45965</v>
      </c>
      <c r="B36" s="7">
        <v>3948</v>
      </c>
      <c r="C36" s="8">
        <v>3545</v>
      </c>
      <c r="D36" s="9">
        <v>3655</v>
      </c>
    </row>
    <row r="37" spans="1:4" x14ac:dyDescent="0.25">
      <c r="A37" s="13">
        <v>45966</v>
      </c>
      <c r="B37" s="10">
        <v>3918</v>
      </c>
      <c r="C37" s="11">
        <v>4830</v>
      </c>
      <c r="D37" s="12">
        <v>4285</v>
      </c>
    </row>
    <row r="38" spans="1:4" x14ac:dyDescent="0.25">
      <c r="A38" s="13">
        <v>45967</v>
      </c>
      <c r="B38" s="7">
        <v>3301</v>
      </c>
      <c r="C38" s="8">
        <v>3785</v>
      </c>
      <c r="D38" s="9">
        <v>4272</v>
      </c>
    </row>
    <row r="39" spans="1:4" x14ac:dyDescent="0.25">
      <c r="A39" s="13">
        <v>45968</v>
      </c>
      <c r="B39" s="10">
        <v>3310</v>
      </c>
      <c r="C39" s="11">
        <v>2716</v>
      </c>
      <c r="D39" s="12">
        <v>4059</v>
      </c>
    </row>
    <row r="40" spans="1:4" x14ac:dyDescent="0.25">
      <c r="A40" s="13">
        <v>45969</v>
      </c>
      <c r="B40" s="7">
        <v>4177</v>
      </c>
      <c r="C40" s="8">
        <v>3087</v>
      </c>
      <c r="D40" s="9">
        <v>4270</v>
      </c>
    </row>
    <row r="41" spans="1:4" x14ac:dyDescent="0.25">
      <c r="A41" s="13">
        <v>45970</v>
      </c>
      <c r="B41" s="10">
        <v>3646</v>
      </c>
      <c r="C41" s="11">
        <v>4622</v>
      </c>
      <c r="D41" s="12">
        <v>3905</v>
      </c>
    </row>
    <row r="42" spans="1:4" x14ac:dyDescent="0.25">
      <c r="A42" s="13">
        <v>45971</v>
      </c>
      <c r="B42" s="7">
        <v>3603</v>
      </c>
      <c r="C42" s="8">
        <v>4985</v>
      </c>
      <c r="D42" s="9">
        <v>4082</v>
      </c>
    </row>
    <row r="43" spans="1:4" x14ac:dyDescent="0.25">
      <c r="A43" s="13">
        <v>45972</v>
      </c>
      <c r="B43" s="10">
        <v>4500</v>
      </c>
      <c r="C43" s="11">
        <v>4658</v>
      </c>
      <c r="D43" s="12">
        <v>3583</v>
      </c>
    </row>
    <row r="44" spans="1:4" x14ac:dyDescent="0.25">
      <c r="A44" s="13">
        <v>45973</v>
      </c>
      <c r="B44" s="7">
        <v>4642</v>
      </c>
      <c r="C44" s="8">
        <v>3721</v>
      </c>
      <c r="D44" s="9">
        <v>4045</v>
      </c>
    </row>
    <row r="45" spans="1:4" x14ac:dyDescent="0.25">
      <c r="A45" s="13">
        <v>45974</v>
      </c>
      <c r="B45" s="10">
        <v>4280</v>
      </c>
      <c r="C45" s="11">
        <v>2622</v>
      </c>
      <c r="D45" s="12">
        <v>3630</v>
      </c>
    </row>
    <row r="46" spans="1:4" x14ac:dyDescent="0.25">
      <c r="A46" s="13">
        <v>45975</v>
      </c>
      <c r="B46" s="7">
        <v>3307</v>
      </c>
      <c r="C46" s="8">
        <v>4450</v>
      </c>
      <c r="D46" s="9">
        <v>3551</v>
      </c>
    </row>
    <row r="47" spans="1:4" x14ac:dyDescent="0.25">
      <c r="A47" s="13">
        <v>45976</v>
      </c>
      <c r="B47" s="10">
        <v>3132</v>
      </c>
      <c r="C47" s="11">
        <v>3118</v>
      </c>
      <c r="D47" s="12">
        <v>4231</v>
      </c>
    </row>
    <row r="48" spans="1:4" x14ac:dyDescent="0.25">
      <c r="A48" s="13">
        <v>45977</v>
      </c>
      <c r="B48" s="7">
        <v>3438</v>
      </c>
      <c r="C48" s="8">
        <v>2559</v>
      </c>
      <c r="D48" s="9">
        <v>4323</v>
      </c>
    </row>
    <row r="49" spans="1:4" x14ac:dyDescent="0.25">
      <c r="A49" s="13">
        <v>45978</v>
      </c>
      <c r="B49" s="10">
        <v>4209</v>
      </c>
      <c r="C49" s="11">
        <v>4094</v>
      </c>
      <c r="D49" s="12">
        <v>3533</v>
      </c>
    </row>
    <row r="50" spans="1:4" x14ac:dyDescent="0.25">
      <c r="A50" s="13">
        <v>45979</v>
      </c>
      <c r="B50" s="7">
        <v>3469</v>
      </c>
      <c r="C50" s="8">
        <v>3582</v>
      </c>
      <c r="D50" s="9">
        <v>3578</v>
      </c>
    </row>
    <row r="51" spans="1:4" x14ac:dyDescent="0.25">
      <c r="A51" s="13">
        <v>45980</v>
      </c>
      <c r="B51" s="10">
        <v>3964</v>
      </c>
      <c r="C51" s="11">
        <v>4282</v>
      </c>
      <c r="D51" s="12">
        <v>3642</v>
      </c>
    </row>
    <row r="52" spans="1:4" x14ac:dyDescent="0.25">
      <c r="A52" s="13">
        <v>45981</v>
      </c>
      <c r="B52" s="7">
        <v>3464</v>
      </c>
      <c r="C52" s="8">
        <v>3816</v>
      </c>
      <c r="D52" s="9">
        <v>4038</v>
      </c>
    </row>
    <row r="53" spans="1:4" x14ac:dyDescent="0.25">
      <c r="A53" s="13">
        <v>45982</v>
      </c>
      <c r="B53" s="10">
        <v>4762</v>
      </c>
      <c r="C53" s="11">
        <v>3842</v>
      </c>
      <c r="D53" s="12">
        <v>4097</v>
      </c>
    </row>
    <row r="54" spans="1:4" x14ac:dyDescent="0.25">
      <c r="A54" s="13">
        <v>45983</v>
      </c>
      <c r="B54" s="7">
        <v>3239</v>
      </c>
      <c r="C54" s="8">
        <v>3124</v>
      </c>
      <c r="D54" s="9">
        <v>4114</v>
      </c>
    </row>
    <row r="55" spans="1:4" x14ac:dyDescent="0.25">
      <c r="A55" s="13">
        <v>45984</v>
      </c>
      <c r="B55" s="10">
        <v>4722</v>
      </c>
      <c r="C55" s="11">
        <v>4675</v>
      </c>
      <c r="D55" s="12">
        <v>4499</v>
      </c>
    </row>
    <row r="56" spans="1:4" x14ac:dyDescent="0.25">
      <c r="A56" s="13">
        <v>45985</v>
      </c>
      <c r="B56" s="7">
        <v>4398</v>
      </c>
      <c r="C56" s="8">
        <v>3072</v>
      </c>
      <c r="D56" s="9">
        <v>4282</v>
      </c>
    </row>
    <row r="57" spans="1:4" x14ac:dyDescent="0.25">
      <c r="A57" s="13">
        <v>45986</v>
      </c>
      <c r="B57" s="10">
        <v>3950</v>
      </c>
      <c r="C57" s="11">
        <v>3684</v>
      </c>
      <c r="D57" s="12">
        <v>3825</v>
      </c>
    </row>
    <row r="58" spans="1:4" x14ac:dyDescent="0.25">
      <c r="A58" s="13">
        <v>45987</v>
      </c>
      <c r="B58" s="7">
        <v>3089</v>
      </c>
      <c r="C58" s="8">
        <v>3898</v>
      </c>
      <c r="D58" s="9">
        <v>3737</v>
      </c>
    </row>
    <row r="59" spans="1:4" x14ac:dyDescent="0.25">
      <c r="A59" s="13">
        <v>45988</v>
      </c>
      <c r="B59" s="10">
        <v>4408</v>
      </c>
      <c r="C59" s="11">
        <v>2923</v>
      </c>
      <c r="D59" s="12">
        <v>4377</v>
      </c>
    </row>
    <row r="60" spans="1:4" x14ac:dyDescent="0.25">
      <c r="A60" s="13">
        <v>45989</v>
      </c>
      <c r="B60" s="7">
        <v>3732</v>
      </c>
      <c r="C60" s="8">
        <v>2542</v>
      </c>
      <c r="D60" s="9">
        <v>4322</v>
      </c>
    </row>
    <row r="61" spans="1:4" x14ac:dyDescent="0.25">
      <c r="A61" s="13">
        <v>45990</v>
      </c>
      <c r="B61" s="10">
        <v>4706</v>
      </c>
      <c r="C61" s="11">
        <v>3760</v>
      </c>
      <c r="D61" s="12">
        <v>4447</v>
      </c>
    </row>
    <row r="62" spans="1:4" x14ac:dyDescent="0.25">
      <c r="A62" s="13">
        <v>45991</v>
      </c>
      <c r="B62" s="7">
        <v>3905</v>
      </c>
      <c r="C62" s="8">
        <v>4048</v>
      </c>
      <c r="D62" s="9">
        <v>3656</v>
      </c>
    </row>
    <row r="63" spans="1:4" x14ac:dyDescent="0.25">
      <c r="A63" s="13">
        <v>45992</v>
      </c>
      <c r="B63" s="10">
        <v>4369</v>
      </c>
      <c r="C63" s="11">
        <v>4468</v>
      </c>
      <c r="D63" s="12">
        <v>3578</v>
      </c>
    </row>
    <row r="64" spans="1:4" x14ac:dyDescent="0.25">
      <c r="A64" s="13">
        <v>45993</v>
      </c>
      <c r="B64" s="7">
        <v>4186</v>
      </c>
      <c r="C64" s="8">
        <v>3808</v>
      </c>
      <c r="D64" s="9">
        <v>4065</v>
      </c>
    </row>
    <row r="65" spans="1:4" x14ac:dyDescent="0.25">
      <c r="A65" s="13">
        <v>45994</v>
      </c>
      <c r="B65" s="10">
        <v>3780</v>
      </c>
      <c r="C65" s="11">
        <v>3894</v>
      </c>
      <c r="D65" s="12">
        <v>4341</v>
      </c>
    </row>
    <row r="66" spans="1:4" x14ac:dyDescent="0.25">
      <c r="A66" s="13">
        <v>45995</v>
      </c>
      <c r="B66" s="7">
        <v>3859</v>
      </c>
      <c r="C66" s="8">
        <v>3335</v>
      </c>
      <c r="D66" s="9">
        <v>4343</v>
      </c>
    </row>
    <row r="67" spans="1:4" x14ac:dyDescent="0.25">
      <c r="A67" s="13">
        <v>45996</v>
      </c>
      <c r="B67" s="10">
        <v>4842</v>
      </c>
      <c r="C67" s="11">
        <v>4325</v>
      </c>
      <c r="D67" s="12">
        <v>4284</v>
      </c>
    </row>
    <row r="68" spans="1:4" x14ac:dyDescent="0.25">
      <c r="A68" s="13">
        <v>45997</v>
      </c>
      <c r="B68" s="7">
        <v>4461</v>
      </c>
      <c r="C68" s="8">
        <v>3535</v>
      </c>
      <c r="D68" s="9">
        <v>4224</v>
      </c>
    </row>
    <row r="69" spans="1:4" x14ac:dyDescent="0.25">
      <c r="A69" s="13">
        <v>45998</v>
      </c>
      <c r="B69" s="10">
        <v>3676</v>
      </c>
      <c r="C69" s="11">
        <v>3549</v>
      </c>
      <c r="D69" s="12">
        <v>4469</v>
      </c>
    </row>
    <row r="70" spans="1:4" x14ac:dyDescent="0.25">
      <c r="A70" s="13">
        <v>45999</v>
      </c>
      <c r="B70" s="7">
        <v>4173</v>
      </c>
      <c r="C70" s="8">
        <v>3281</v>
      </c>
      <c r="D70" s="9">
        <v>4365</v>
      </c>
    </row>
    <row r="71" spans="1:4" x14ac:dyDescent="0.25">
      <c r="A71" s="13">
        <v>46000</v>
      </c>
      <c r="B71" s="10">
        <v>3982</v>
      </c>
      <c r="C71" s="11">
        <v>3500</v>
      </c>
      <c r="D71" s="12">
        <v>4379</v>
      </c>
    </row>
    <row r="72" spans="1:4" x14ac:dyDescent="0.25">
      <c r="A72" s="13">
        <v>46001</v>
      </c>
      <c r="B72" s="7">
        <v>4507</v>
      </c>
      <c r="C72" s="8">
        <v>4263</v>
      </c>
      <c r="D72" s="9">
        <v>4439</v>
      </c>
    </row>
    <row r="73" spans="1:4" x14ac:dyDescent="0.25">
      <c r="A73" s="13">
        <v>46002</v>
      </c>
      <c r="B73" s="10">
        <v>3574</v>
      </c>
      <c r="C73" s="11">
        <v>2503</v>
      </c>
      <c r="D73" s="12">
        <v>3886</v>
      </c>
    </row>
    <row r="74" spans="1:4" x14ac:dyDescent="0.25">
      <c r="A74" s="13">
        <v>46003</v>
      </c>
      <c r="B74" s="7">
        <v>3514</v>
      </c>
      <c r="C74" s="8">
        <v>3589</v>
      </c>
      <c r="D74" s="9">
        <v>4163</v>
      </c>
    </row>
    <row r="75" spans="1:4" x14ac:dyDescent="0.25">
      <c r="A75" s="13">
        <v>46004</v>
      </c>
      <c r="B75" s="10">
        <v>3825</v>
      </c>
      <c r="C75" s="11">
        <v>3615</v>
      </c>
      <c r="D75" s="12">
        <v>4275</v>
      </c>
    </row>
    <row r="76" spans="1:4" x14ac:dyDescent="0.25">
      <c r="A76" s="13">
        <v>46005</v>
      </c>
      <c r="B76" s="7">
        <v>3839</v>
      </c>
      <c r="C76" s="8">
        <v>3962</v>
      </c>
      <c r="D76" s="9">
        <v>4207</v>
      </c>
    </row>
    <row r="77" spans="1:4" x14ac:dyDescent="0.25">
      <c r="A77" s="13">
        <v>46006</v>
      </c>
      <c r="B77" s="10">
        <v>4686</v>
      </c>
      <c r="C77" s="11">
        <v>2918</v>
      </c>
      <c r="D77" s="12">
        <v>3885</v>
      </c>
    </row>
    <row r="78" spans="1:4" x14ac:dyDescent="0.25">
      <c r="A78" s="13">
        <v>46007</v>
      </c>
      <c r="B78" s="7">
        <v>3155</v>
      </c>
      <c r="C78" s="8">
        <v>4732</v>
      </c>
      <c r="D78" s="9">
        <v>4066</v>
      </c>
    </row>
    <row r="79" spans="1:4" x14ac:dyDescent="0.25">
      <c r="A79" s="13">
        <v>46008</v>
      </c>
      <c r="B79" s="10">
        <v>3375</v>
      </c>
      <c r="C79" s="11">
        <v>3272</v>
      </c>
      <c r="D79" s="12">
        <v>4355</v>
      </c>
    </row>
    <row r="80" spans="1:4" x14ac:dyDescent="0.25">
      <c r="A80" s="13">
        <v>46009</v>
      </c>
      <c r="B80" s="7">
        <v>4396</v>
      </c>
      <c r="C80" s="8">
        <v>2882</v>
      </c>
      <c r="D80" s="9">
        <v>3646</v>
      </c>
    </row>
    <row r="81" spans="1:4" x14ac:dyDescent="0.25">
      <c r="A81" s="13">
        <v>46010</v>
      </c>
      <c r="B81" s="10">
        <v>4371</v>
      </c>
      <c r="C81" s="11">
        <v>3799</v>
      </c>
      <c r="D81" s="12">
        <v>3529</v>
      </c>
    </row>
    <row r="82" spans="1:4" x14ac:dyDescent="0.25">
      <c r="A82" s="13">
        <v>46011</v>
      </c>
      <c r="B82" s="7">
        <v>3493</v>
      </c>
      <c r="C82" s="8">
        <v>4308</v>
      </c>
      <c r="D82" s="9">
        <v>3677</v>
      </c>
    </row>
    <row r="83" spans="1:4" x14ac:dyDescent="0.25">
      <c r="A83" s="13">
        <v>46012</v>
      </c>
      <c r="B83" s="10">
        <v>3809</v>
      </c>
      <c r="C83" s="11">
        <v>4305</v>
      </c>
      <c r="D83" s="12">
        <v>3855</v>
      </c>
    </row>
    <row r="84" spans="1:4" x14ac:dyDescent="0.25">
      <c r="A84" s="13">
        <v>46013</v>
      </c>
      <c r="B84" s="7">
        <v>3783</v>
      </c>
      <c r="C84" s="8">
        <v>3070</v>
      </c>
      <c r="D84" s="9">
        <v>3906</v>
      </c>
    </row>
    <row r="85" spans="1:4" x14ac:dyDescent="0.25">
      <c r="A85" s="13">
        <v>46014</v>
      </c>
      <c r="B85" s="10">
        <v>3651</v>
      </c>
      <c r="C85" s="11">
        <v>3648</v>
      </c>
      <c r="D85" s="12">
        <v>4369</v>
      </c>
    </row>
    <row r="86" spans="1:4" x14ac:dyDescent="0.25">
      <c r="A86" s="13">
        <v>46015</v>
      </c>
      <c r="B86" s="7">
        <v>4785</v>
      </c>
      <c r="C86" s="8">
        <v>3608</v>
      </c>
      <c r="D86" s="9">
        <v>3660</v>
      </c>
    </row>
    <row r="87" spans="1:4" x14ac:dyDescent="0.25">
      <c r="A87" s="13">
        <v>46016</v>
      </c>
      <c r="B87" s="10">
        <v>4756</v>
      </c>
      <c r="C87" s="11">
        <v>2907</v>
      </c>
      <c r="D87" s="12">
        <v>3579</v>
      </c>
    </row>
    <row r="88" spans="1:4" x14ac:dyDescent="0.25">
      <c r="A88" s="13">
        <v>46017</v>
      </c>
      <c r="B88" s="7">
        <v>3615</v>
      </c>
      <c r="C88" s="8">
        <v>3854</v>
      </c>
      <c r="D88" s="9">
        <v>3713</v>
      </c>
    </row>
    <row r="89" spans="1:4" x14ac:dyDescent="0.25">
      <c r="A89" s="13">
        <v>46018</v>
      </c>
      <c r="B89" s="10">
        <v>4570</v>
      </c>
      <c r="C89" s="11">
        <v>2857</v>
      </c>
      <c r="D89" s="12">
        <v>3821</v>
      </c>
    </row>
    <row r="90" spans="1:4" x14ac:dyDescent="0.25">
      <c r="A90" s="13">
        <v>46019</v>
      </c>
      <c r="B90" s="7">
        <v>3598</v>
      </c>
      <c r="C90" s="8">
        <v>3805</v>
      </c>
      <c r="D90" s="9">
        <v>3769</v>
      </c>
    </row>
    <row r="91" spans="1:4" x14ac:dyDescent="0.25">
      <c r="A91" s="13">
        <v>46020</v>
      </c>
      <c r="B91" s="10">
        <v>4365</v>
      </c>
      <c r="C91" s="11">
        <v>3553</v>
      </c>
      <c r="D91" s="12">
        <v>3861</v>
      </c>
    </row>
    <row r="92" spans="1:4" x14ac:dyDescent="0.25">
      <c r="A92" s="13">
        <v>46021</v>
      </c>
      <c r="B92" s="7">
        <v>4998</v>
      </c>
      <c r="C92" s="8">
        <v>3365</v>
      </c>
      <c r="D92" s="9">
        <v>3839</v>
      </c>
    </row>
    <row r="93" spans="1:4" x14ac:dyDescent="0.25">
      <c r="A93" s="13">
        <v>46022</v>
      </c>
      <c r="B93" s="10">
        <v>3824</v>
      </c>
      <c r="C93" s="11">
        <v>3612</v>
      </c>
      <c r="D93" s="12">
        <v>3928</v>
      </c>
    </row>
    <row r="94" spans="1:4" x14ac:dyDescent="0.25">
      <c r="A94" s="13">
        <v>46023</v>
      </c>
      <c r="B94" s="7">
        <v>3168</v>
      </c>
      <c r="C94" s="8">
        <v>4708</v>
      </c>
      <c r="D94" s="9">
        <v>4087</v>
      </c>
    </row>
    <row r="95" spans="1:4" x14ac:dyDescent="0.25">
      <c r="A95" s="13">
        <v>46024</v>
      </c>
      <c r="B95" s="10">
        <v>4042</v>
      </c>
      <c r="C95" s="11">
        <v>4551</v>
      </c>
      <c r="D95" s="12">
        <v>3868</v>
      </c>
    </row>
    <row r="96" spans="1:4" x14ac:dyDescent="0.25">
      <c r="A96" s="13">
        <v>46025</v>
      </c>
      <c r="B96" s="7">
        <v>4346</v>
      </c>
      <c r="C96" s="8">
        <v>4149</v>
      </c>
      <c r="D96" s="9">
        <v>3664</v>
      </c>
    </row>
    <row r="97" spans="1:4" x14ac:dyDescent="0.25">
      <c r="A97" s="13">
        <v>46026</v>
      </c>
      <c r="B97" s="10">
        <v>4903</v>
      </c>
      <c r="C97" s="11">
        <v>4370</v>
      </c>
      <c r="D97" s="12">
        <v>4421</v>
      </c>
    </row>
    <row r="98" spans="1:4" x14ac:dyDescent="0.25">
      <c r="A98" s="13">
        <v>46027</v>
      </c>
      <c r="B98" s="7">
        <v>4202</v>
      </c>
      <c r="C98" s="8">
        <v>3920</v>
      </c>
      <c r="D98" s="9">
        <v>4413</v>
      </c>
    </row>
    <row r="99" spans="1:4" x14ac:dyDescent="0.25">
      <c r="A99" s="13">
        <v>46028</v>
      </c>
      <c r="B99" s="10">
        <v>3594</v>
      </c>
      <c r="C99" s="11">
        <v>4538</v>
      </c>
      <c r="D99" s="12">
        <v>3722</v>
      </c>
    </row>
    <row r="100" spans="1:4" x14ac:dyDescent="0.25">
      <c r="A100" s="13">
        <v>46029</v>
      </c>
      <c r="B100" s="7">
        <v>4837</v>
      </c>
      <c r="C100" s="8">
        <v>3455</v>
      </c>
      <c r="D100" s="9">
        <v>3595</v>
      </c>
    </row>
    <row r="101" spans="1:4" x14ac:dyDescent="0.25">
      <c r="A101" s="13">
        <v>46030</v>
      </c>
      <c r="B101" s="10">
        <v>3528</v>
      </c>
      <c r="C101" s="11">
        <v>3524</v>
      </c>
      <c r="D101" s="12">
        <v>3768</v>
      </c>
    </row>
    <row r="102" spans="1:4" x14ac:dyDescent="0.25">
      <c r="A102" s="13">
        <v>46031</v>
      </c>
      <c r="B102" s="7">
        <v>4869</v>
      </c>
      <c r="C102" s="8">
        <v>2564</v>
      </c>
      <c r="D102" s="9">
        <v>3669</v>
      </c>
    </row>
    <row r="103" spans="1:4" x14ac:dyDescent="0.25">
      <c r="A103" s="13">
        <v>46032</v>
      </c>
      <c r="B103" s="10">
        <v>4270</v>
      </c>
      <c r="C103" s="11">
        <v>3659</v>
      </c>
      <c r="D103" s="12">
        <v>3829</v>
      </c>
    </row>
    <row r="104" spans="1:4" x14ac:dyDescent="0.25">
      <c r="A104" s="13">
        <v>46033</v>
      </c>
      <c r="B104" s="7">
        <v>4266</v>
      </c>
      <c r="C104" s="8">
        <v>3961</v>
      </c>
      <c r="D104" s="9">
        <v>4134</v>
      </c>
    </row>
    <row r="105" spans="1:4" x14ac:dyDescent="0.25">
      <c r="A105" s="13">
        <v>46034</v>
      </c>
      <c r="B105" s="10">
        <v>4714</v>
      </c>
      <c r="C105" s="11">
        <v>3735</v>
      </c>
      <c r="D105" s="12">
        <v>3609</v>
      </c>
    </row>
    <row r="106" spans="1:4" x14ac:dyDescent="0.25">
      <c r="A106" s="13">
        <v>46035</v>
      </c>
      <c r="B106" s="7">
        <v>3953</v>
      </c>
      <c r="C106" s="8">
        <v>4143</v>
      </c>
      <c r="D106" s="9">
        <v>3971</v>
      </c>
    </row>
    <row r="107" spans="1:4" x14ac:dyDescent="0.25">
      <c r="A107" s="13">
        <v>46036</v>
      </c>
      <c r="B107" s="10">
        <v>3659</v>
      </c>
      <c r="C107" s="11">
        <v>4604</v>
      </c>
      <c r="D107" s="12">
        <v>3573</v>
      </c>
    </row>
    <row r="108" spans="1:4" x14ac:dyDescent="0.25">
      <c r="A108" s="13">
        <v>46037</v>
      </c>
      <c r="B108" s="7">
        <v>3879</v>
      </c>
      <c r="C108" s="8">
        <v>4415</v>
      </c>
      <c r="D108" s="9">
        <v>4315</v>
      </c>
    </row>
    <row r="109" spans="1:4" x14ac:dyDescent="0.25">
      <c r="A109" s="13">
        <v>46038</v>
      </c>
      <c r="B109" s="10">
        <v>3914</v>
      </c>
      <c r="C109" s="11">
        <v>3409</v>
      </c>
      <c r="D109" s="12">
        <v>4351</v>
      </c>
    </row>
    <row r="110" spans="1:4" x14ac:dyDescent="0.25">
      <c r="A110" s="13">
        <v>46039</v>
      </c>
      <c r="B110" s="7">
        <v>3339</v>
      </c>
      <c r="C110" s="8">
        <v>3542</v>
      </c>
      <c r="D110" s="9">
        <v>3627</v>
      </c>
    </row>
    <row r="111" spans="1:4" x14ac:dyDescent="0.25">
      <c r="A111" s="13">
        <v>46040</v>
      </c>
      <c r="B111" s="10">
        <v>3162</v>
      </c>
      <c r="C111" s="11">
        <v>2896</v>
      </c>
      <c r="D111" s="12">
        <v>3766</v>
      </c>
    </row>
    <row r="112" spans="1:4" x14ac:dyDescent="0.25">
      <c r="A112" s="13">
        <v>46041</v>
      </c>
      <c r="B112" s="7">
        <v>3060</v>
      </c>
      <c r="C112" s="8">
        <v>4654</v>
      </c>
      <c r="D112" s="9">
        <v>4424</v>
      </c>
    </row>
    <row r="113" spans="1:4" x14ac:dyDescent="0.25">
      <c r="A113" s="13">
        <v>46042</v>
      </c>
      <c r="B113" s="10">
        <v>3030</v>
      </c>
      <c r="C113" s="11">
        <v>4743</v>
      </c>
      <c r="D113" s="12">
        <v>4186</v>
      </c>
    </row>
    <row r="114" spans="1:4" x14ac:dyDescent="0.25">
      <c r="A114" s="13">
        <v>46043</v>
      </c>
      <c r="B114" s="7">
        <v>4179</v>
      </c>
      <c r="C114" s="8">
        <v>3640</v>
      </c>
      <c r="D114" s="9">
        <v>3831</v>
      </c>
    </row>
    <row r="115" spans="1:4" x14ac:dyDescent="0.25">
      <c r="A115" s="13">
        <v>46044</v>
      </c>
      <c r="B115" s="10">
        <v>4608</v>
      </c>
      <c r="C115" s="11">
        <v>2935</v>
      </c>
      <c r="D115" s="12">
        <v>3605</v>
      </c>
    </row>
    <row r="116" spans="1:4" x14ac:dyDescent="0.25">
      <c r="A116" s="13">
        <v>46045</v>
      </c>
      <c r="B116" s="7">
        <v>3033</v>
      </c>
      <c r="C116" s="8">
        <v>3819</v>
      </c>
      <c r="D116" s="9">
        <v>3718</v>
      </c>
    </row>
    <row r="117" spans="1:4" x14ac:dyDescent="0.25">
      <c r="A117" s="13">
        <v>46046</v>
      </c>
      <c r="B117" s="10">
        <v>4026</v>
      </c>
      <c r="C117" s="11">
        <v>2995</v>
      </c>
      <c r="D117" s="12">
        <v>3879</v>
      </c>
    </row>
    <row r="118" spans="1:4" x14ac:dyDescent="0.25">
      <c r="A118" s="13">
        <v>46047</v>
      </c>
      <c r="B118" s="7">
        <v>3351</v>
      </c>
      <c r="C118" s="8">
        <v>3804</v>
      </c>
      <c r="D118" s="9">
        <v>3881</v>
      </c>
    </row>
    <row r="119" spans="1:4" x14ac:dyDescent="0.25">
      <c r="A119" s="13">
        <v>46048</v>
      </c>
      <c r="B119" s="10">
        <v>4157</v>
      </c>
      <c r="C119" s="11">
        <v>4105</v>
      </c>
      <c r="D119" s="12">
        <v>3818</v>
      </c>
    </row>
    <row r="120" spans="1:4" x14ac:dyDescent="0.25">
      <c r="A120" s="13">
        <v>46049</v>
      </c>
      <c r="B120" s="7">
        <v>3435</v>
      </c>
      <c r="C120" s="8">
        <v>4678</v>
      </c>
      <c r="D120" s="9">
        <v>4051</v>
      </c>
    </row>
    <row r="121" spans="1:4" x14ac:dyDescent="0.25">
      <c r="A121" s="13">
        <v>46050</v>
      </c>
      <c r="B121" s="10">
        <v>3210</v>
      </c>
      <c r="C121" s="11">
        <v>2845</v>
      </c>
      <c r="D121" s="12">
        <v>4169</v>
      </c>
    </row>
    <row r="122" spans="1:4" x14ac:dyDescent="0.25">
      <c r="A122" s="13">
        <v>46051</v>
      </c>
      <c r="B122" s="7">
        <v>3472</v>
      </c>
      <c r="C122" s="8">
        <v>3921</v>
      </c>
      <c r="D122" s="9">
        <v>3819</v>
      </c>
    </row>
    <row r="123" spans="1:4" x14ac:dyDescent="0.25">
      <c r="A123" s="13">
        <v>46052</v>
      </c>
      <c r="B123" s="10">
        <v>4654</v>
      </c>
      <c r="C123" s="11">
        <v>4096</v>
      </c>
      <c r="D123" s="12">
        <v>3537</v>
      </c>
    </row>
    <row r="124" spans="1:4" x14ac:dyDescent="0.25">
      <c r="A124" s="13">
        <v>46053</v>
      </c>
      <c r="B124" s="7">
        <v>4837</v>
      </c>
      <c r="C124" s="8">
        <v>3080</v>
      </c>
      <c r="D124" s="9">
        <v>4401</v>
      </c>
    </row>
    <row r="125" spans="1:4" x14ac:dyDescent="0.25">
      <c r="A125" s="13">
        <v>46054</v>
      </c>
      <c r="B125" s="10">
        <v>4533</v>
      </c>
      <c r="C125" s="11">
        <v>4971</v>
      </c>
      <c r="D125" s="12">
        <v>4085</v>
      </c>
    </row>
    <row r="126" spans="1:4" x14ac:dyDescent="0.25">
      <c r="A126" s="13">
        <v>46055</v>
      </c>
      <c r="B126" s="7">
        <v>4473</v>
      </c>
      <c r="C126" s="8">
        <v>3814</v>
      </c>
      <c r="D126" s="9">
        <v>3674</v>
      </c>
    </row>
    <row r="127" spans="1:4" x14ac:dyDescent="0.25">
      <c r="A127" s="13">
        <v>46056</v>
      </c>
      <c r="B127" s="10">
        <v>4325</v>
      </c>
      <c r="C127" s="11">
        <v>3187</v>
      </c>
      <c r="D127" s="12">
        <v>3755</v>
      </c>
    </row>
    <row r="128" spans="1:4" x14ac:dyDescent="0.25">
      <c r="A128" s="13">
        <v>46057</v>
      </c>
      <c r="B128" s="7">
        <v>4048</v>
      </c>
      <c r="C128" s="8">
        <v>2556</v>
      </c>
      <c r="D128" s="9">
        <v>4060</v>
      </c>
    </row>
    <row r="129" spans="1:4" x14ac:dyDescent="0.25">
      <c r="A129" s="13">
        <v>46058</v>
      </c>
      <c r="B129" s="10">
        <v>3142</v>
      </c>
      <c r="C129" s="11">
        <v>3697</v>
      </c>
      <c r="D129" s="12">
        <v>4184</v>
      </c>
    </row>
    <row r="130" spans="1:4" x14ac:dyDescent="0.25">
      <c r="A130" s="13">
        <v>46059</v>
      </c>
      <c r="B130" s="7">
        <v>4400</v>
      </c>
      <c r="C130" s="8">
        <v>4840</v>
      </c>
      <c r="D130" s="9">
        <v>3503</v>
      </c>
    </row>
    <row r="131" spans="1:4" x14ac:dyDescent="0.25">
      <c r="A131" s="13">
        <v>46060</v>
      </c>
      <c r="B131" s="10">
        <v>4885</v>
      </c>
      <c r="C131" s="11">
        <v>4696</v>
      </c>
      <c r="D131" s="12">
        <v>3652</v>
      </c>
    </row>
    <row r="132" spans="1:4" x14ac:dyDescent="0.25">
      <c r="A132" s="13">
        <v>46061</v>
      </c>
      <c r="B132" s="7">
        <v>4586</v>
      </c>
      <c r="C132" s="8">
        <v>4554</v>
      </c>
      <c r="D132" s="9">
        <v>4464</v>
      </c>
    </row>
    <row r="133" spans="1:4" x14ac:dyDescent="0.25">
      <c r="A133" s="13">
        <v>46062</v>
      </c>
      <c r="B133" s="10">
        <v>3679</v>
      </c>
      <c r="C133" s="11">
        <v>3979</v>
      </c>
      <c r="D133" s="12">
        <v>3768</v>
      </c>
    </row>
    <row r="134" spans="1:4" x14ac:dyDescent="0.25">
      <c r="A134" s="13">
        <v>46063</v>
      </c>
      <c r="B134" s="7">
        <v>4994</v>
      </c>
      <c r="C134" s="8">
        <v>3366</v>
      </c>
      <c r="D134" s="9">
        <v>4355</v>
      </c>
    </row>
    <row r="135" spans="1:4" x14ac:dyDescent="0.25">
      <c r="A135" s="13">
        <v>46064</v>
      </c>
      <c r="B135" s="10">
        <v>4127</v>
      </c>
      <c r="C135" s="11">
        <v>3480</v>
      </c>
      <c r="D135" s="12">
        <v>4182</v>
      </c>
    </row>
    <row r="136" spans="1:4" x14ac:dyDescent="0.25">
      <c r="A136" s="13">
        <v>46065</v>
      </c>
      <c r="B136" s="7">
        <v>3554</v>
      </c>
      <c r="C136" s="8">
        <v>4347</v>
      </c>
      <c r="D136" s="9">
        <v>4384</v>
      </c>
    </row>
    <row r="137" spans="1:4" x14ac:dyDescent="0.25">
      <c r="A137" s="13">
        <v>46066</v>
      </c>
      <c r="B137" s="10">
        <v>3048</v>
      </c>
      <c r="C137" s="11">
        <v>4199</v>
      </c>
      <c r="D137" s="12">
        <v>4406</v>
      </c>
    </row>
    <row r="138" spans="1:4" x14ac:dyDescent="0.25">
      <c r="A138" s="13">
        <v>46067</v>
      </c>
      <c r="B138" s="7">
        <v>4026</v>
      </c>
      <c r="C138" s="8">
        <v>4274</v>
      </c>
      <c r="D138" s="9">
        <v>4115</v>
      </c>
    </row>
    <row r="139" spans="1:4" x14ac:dyDescent="0.25">
      <c r="A139" s="13">
        <v>46068</v>
      </c>
      <c r="B139" s="10">
        <v>3242</v>
      </c>
      <c r="C139" s="11">
        <v>2627</v>
      </c>
      <c r="D139" s="12">
        <v>3838</v>
      </c>
    </row>
    <row r="140" spans="1:4" x14ac:dyDescent="0.25">
      <c r="A140" s="13">
        <v>46069</v>
      </c>
      <c r="B140" s="7">
        <v>3462</v>
      </c>
      <c r="C140" s="8">
        <v>4779</v>
      </c>
      <c r="D140" s="9">
        <v>4445</v>
      </c>
    </row>
    <row r="141" spans="1:4" x14ac:dyDescent="0.25">
      <c r="A141" s="13">
        <v>46070</v>
      </c>
      <c r="B141" s="10">
        <v>4609</v>
      </c>
      <c r="C141" s="11">
        <v>3559</v>
      </c>
      <c r="D141" s="12">
        <v>3892</v>
      </c>
    </row>
    <row r="142" spans="1:4" x14ac:dyDescent="0.25">
      <c r="A142" s="13">
        <v>46071</v>
      </c>
      <c r="B142" s="7">
        <v>4569</v>
      </c>
      <c r="C142" s="8">
        <v>2592</v>
      </c>
      <c r="D142" s="9">
        <v>4056</v>
      </c>
    </row>
    <row r="143" spans="1:4" x14ac:dyDescent="0.25">
      <c r="A143" s="13">
        <v>46072</v>
      </c>
      <c r="B143" s="10">
        <v>3112</v>
      </c>
      <c r="C143" s="11">
        <v>3121</v>
      </c>
      <c r="D143" s="12">
        <v>4435</v>
      </c>
    </row>
    <row r="144" spans="1:4" x14ac:dyDescent="0.25">
      <c r="A144" s="13">
        <v>46073</v>
      </c>
      <c r="B144" s="7">
        <v>3723</v>
      </c>
      <c r="C144" s="8">
        <v>4515</v>
      </c>
      <c r="D144" s="9">
        <v>4353</v>
      </c>
    </row>
    <row r="145" spans="1:4" x14ac:dyDescent="0.25">
      <c r="A145" s="13">
        <v>46074</v>
      </c>
      <c r="B145" s="10">
        <v>3787</v>
      </c>
      <c r="C145" s="11">
        <v>4484</v>
      </c>
      <c r="D145" s="12">
        <v>3867</v>
      </c>
    </row>
    <row r="146" spans="1:4" x14ac:dyDescent="0.25">
      <c r="A146" s="13">
        <v>46075</v>
      </c>
      <c r="B146" s="7">
        <v>4927</v>
      </c>
      <c r="C146" s="8">
        <v>3405</v>
      </c>
      <c r="D146" s="9">
        <v>4289</v>
      </c>
    </row>
    <row r="147" spans="1:4" x14ac:dyDescent="0.25">
      <c r="A147" s="13">
        <v>46076</v>
      </c>
      <c r="B147" s="10">
        <v>4555</v>
      </c>
      <c r="C147" s="11">
        <v>4814</v>
      </c>
      <c r="D147" s="12">
        <v>4125</v>
      </c>
    </row>
    <row r="148" spans="1:4" x14ac:dyDescent="0.25">
      <c r="A148" s="13">
        <v>46077</v>
      </c>
      <c r="B148" s="7">
        <v>4205</v>
      </c>
      <c r="C148" s="8">
        <v>4148</v>
      </c>
      <c r="D148" s="9">
        <v>3519</v>
      </c>
    </row>
    <row r="149" spans="1:4" x14ac:dyDescent="0.25">
      <c r="A149" s="13">
        <v>46078</v>
      </c>
      <c r="B149" s="10">
        <v>4770</v>
      </c>
      <c r="C149" s="11">
        <v>4280</v>
      </c>
      <c r="D149" s="12">
        <v>3718</v>
      </c>
    </row>
    <row r="150" spans="1:4" x14ac:dyDescent="0.25">
      <c r="A150" s="13">
        <v>46079</v>
      </c>
      <c r="B150" s="7">
        <v>3094</v>
      </c>
      <c r="C150" s="8">
        <v>2813</v>
      </c>
      <c r="D150" s="9">
        <v>4238</v>
      </c>
    </row>
    <row r="151" spans="1:4" x14ac:dyDescent="0.25">
      <c r="A151" s="13">
        <v>46080</v>
      </c>
      <c r="B151" s="10">
        <v>3193</v>
      </c>
      <c r="C151" s="11">
        <v>2618</v>
      </c>
      <c r="D151" s="12">
        <v>4263</v>
      </c>
    </row>
    <row r="152" spans="1:4" x14ac:dyDescent="0.25">
      <c r="A152" s="13">
        <v>46081</v>
      </c>
      <c r="B152" s="7">
        <v>4267</v>
      </c>
      <c r="C152" s="8">
        <v>2516</v>
      </c>
      <c r="D152" s="9">
        <v>4103</v>
      </c>
    </row>
    <row r="153" spans="1:4" x14ac:dyDescent="0.25">
      <c r="A153" s="13">
        <v>46082</v>
      </c>
      <c r="B153" s="10">
        <v>4436</v>
      </c>
      <c r="C153" s="11">
        <v>3240</v>
      </c>
      <c r="D153" s="12">
        <v>3966</v>
      </c>
    </row>
    <row r="154" spans="1:4" x14ac:dyDescent="0.25">
      <c r="A154" s="13">
        <v>46083</v>
      </c>
      <c r="B154" s="7">
        <v>4542</v>
      </c>
      <c r="C154" s="8">
        <v>2622</v>
      </c>
      <c r="D154" s="9">
        <v>4455</v>
      </c>
    </row>
    <row r="155" spans="1:4" x14ac:dyDescent="0.25">
      <c r="A155" s="13">
        <v>46084</v>
      </c>
      <c r="B155" s="10">
        <v>3141</v>
      </c>
      <c r="C155" s="11">
        <v>4108</v>
      </c>
      <c r="D155" s="12">
        <v>4415</v>
      </c>
    </row>
    <row r="156" spans="1:4" x14ac:dyDescent="0.25">
      <c r="A156" s="13">
        <v>46085</v>
      </c>
      <c r="B156" s="7">
        <v>4627</v>
      </c>
      <c r="C156" s="8">
        <v>2731</v>
      </c>
      <c r="D156" s="9">
        <v>4065</v>
      </c>
    </row>
    <row r="157" spans="1:4" x14ac:dyDescent="0.25">
      <c r="A157" s="13">
        <v>46086</v>
      </c>
      <c r="B157" s="10">
        <v>4379</v>
      </c>
      <c r="C157" s="11">
        <v>2834</v>
      </c>
      <c r="D157" s="12">
        <v>4338</v>
      </c>
    </row>
    <row r="158" spans="1:4" x14ac:dyDescent="0.25">
      <c r="A158" s="13">
        <v>46087</v>
      </c>
      <c r="B158" s="7">
        <v>4860</v>
      </c>
      <c r="C158" s="8">
        <v>4815</v>
      </c>
      <c r="D158" s="9">
        <v>3693</v>
      </c>
    </row>
    <row r="159" spans="1:4" x14ac:dyDescent="0.25">
      <c r="A159" s="13">
        <v>46088</v>
      </c>
      <c r="B159" s="10">
        <v>4558</v>
      </c>
      <c r="C159" s="11">
        <v>2729</v>
      </c>
      <c r="D159" s="12">
        <v>3558</v>
      </c>
    </row>
    <row r="160" spans="1:4" x14ac:dyDescent="0.25">
      <c r="A160" s="13">
        <v>46089</v>
      </c>
      <c r="B160" s="7">
        <v>4818</v>
      </c>
      <c r="C160" s="8">
        <v>4126</v>
      </c>
      <c r="D160" s="9">
        <v>4477</v>
      </c>
    </row>
    <row r="161" spans="1:4" x14ac:dyDescent="0.25">
      <c r="A161" s="13">
        <v>46090</v>
      </c>
      <c r="B161" s="10">
        <v>4873</v>
      </c>
      <c r="C161" s="11">
        <v>3127</v>
      </c>
      <c r="D161" s="12">
        <v>4321</v>
      </c>
    </row>
    <row r="162" spans="1:4" x14ac:dyDescent="0.25">
      <c r="A162" s="13">
        <v>46091</v>
      </c>
      <c r="B162" s="7">
        <v>3002</v>
      </c>
      <c r="C162" s="8">
        <v>2612</v>
      </c>
      <c r="D162" s="9">
        <v>3901</v>
      </c>
    </row>
    <row r="163" spans="1:4" x14ac:dyDescent="0.25">
      <c r="A163" s="13">
        <v>46092</v>
      </c>
      <c r="B163" s="10">
        <v>4003</v>
      </c>
      <c r="C163" s="11">
        <v>3600</v>
      </c>
      <c r="D163" s="12">
        <v>3647</v>
      </c>
    </row>
    <row r="164" spans="1:4" x14ac:dyDescent="0.25">
      <c r="A164" s="13">
        <v>46093</v>
      </c>
      <c r="B164" s="7">
        <v>3601</v>
      </c>
      <c r="C164" s="8">
        <v>3048</v>
      </c>
      <c r="D164" s="9">
        <v>4215</v>
      </c>
    </row>
    <row r="165" spans="1:4" x14ac:dyDescent="0.25">
      <c r="A165" s="13">
        <v>46094</v>
      </c>
      <c r="B165" s="10">
        <v>3733</v>
      </c>
      <c r="C165" s="11">
        <v>2847</v>
      </c>
      <c r="D165" s="12">
        <v>3617</v>
      </c>
    </row>
    <row r="166" spans="1:4" x14ac:dyDescent="0.25">
      <c r="A166" s="13">
        <v>46095</v>
      </c>
      <c r="B166" s="7">
        <v>3930</v>
      </c>
      <c r="C166" s="8">
        <v>2588</v>
      </c>
      <c r="D166" s="9">
        <v>3680</v>
      </c>
    </row>
    <row r="167" spans="1:4" x14ac:dyDescent="0.25">
      <c r="A167" s="13">
        <v>46096</v>
      </c>
      <c r="B167" s="10">
        <v>3423</v>
      </c>
      <c r="C167" s="11">
        <v>3459</v>
      </c>
      <c r="D167" s="12">
        <v>4045</v>
      </c>
    </row>
    <row r="168" spans="1:4" x14ac:dyDescent="0.25">
      <c r="A168" s="13">
        <v>46097</v>
      </c>
      <c r="B168" s="7">
        <v>4757</v>
      </c>
      <c r="C168" s="8">
        <v>4489</v>
      </c>
      <c r="D168" s="9">
        <v>3724</v>
      </c>
    </row>
    <row r="169" spans="1:4" x14ac:dyDescent="0.25">
      <c r="A169" s="13">
        <v>46098</v>
      </c>
      <c r="B169" s="10">
        <v>3712</v>
      </c>
      <c r="C169" s="11">
        <v>3899</v>
      </c>
      <c r="D169" s="12">
        <v>4461</v>
      </c>
    </row>
    <row r="170" spans="1:4" x14ac:dyDescent="0.25">
      <c r="A170" s="13">
        <v>46099</v>
      </c>
      <c r="B170" s="7">
        <v>4869</v>
      </c>
      <c r="C170" s="8">
        <v>4425</v>
      </c>
      <c r="D170" s="9">
        <v>4113</v>
      </c>
    </row>
    <row r="171" spans="1:4" x14ac:dyDescent="0.25">
      <c r="A171" s="13">
        <v>46100</v>
      </c>
      <c r="B171" s="10">
        <v>4292</v>
      </c>
      <c r="C171" s="11">
        <v>3011</v>
      </c>
      <c r="D171" s="12">
        <v>3601</v>
      </c>
    </row>
    <row r="172" spans="1:4" x14ac:dyDescent="0.25">
      <c r="A172" s="13">
        <v>46101</v>
      </c>
      <c r="B172" s="7">
        <v>3522</v>
      </c>
      <c r="C172" s="8">
        <v>2877</v>
      </c>
      <c r="D172" s="9">
        <v>3857</v>
      </c>
    </row>
    <row r="173" spans="1:4" x14ac:dyDescent="0.25">
      <c r="A173" s="13">
        <v>46102</v>
      </c>
      <c r="B173" s="10">
        <v>4008</v>
      </c>
      <c r="C173" s="11">
        <v>3368</v>
      </c>
      <c r="D173" s="12">
        <v>4183</v>
      </c>
    </row>
    <row r="174" spans="1:4" x14ac:dyDescent="0.25">
      <c r="A174" s="13">
        <v>46103</v>
      </c>
      <c r="B174" s="7">
        <v>3351</v>
      </c>
      <c r="C174" s="8">
        <v>3838</v>
      </c>
      <c r="D174" s="9">
        <v>4400</v>
      </c>
    </row>
    <row r="175" spans="1:4" x14ac:dyDescent="0.25">
      <c r="A175" s="13">
        <v>46104</v>
      </c>
      <c r="B175" s="10">
        <v>4580</v>
      </c>
      <c r="C175" s="11">
        <v>3097</v>
      </c>
      <c r="D175" s="12">
        <v>4102</v>
      </c>
    </row>
    <row r="176" spans="1:4" x14ac:dyDescent="0.25">
      <c r="A176" s="13">
        <v>46105</v>
      </c>
      <c r="B176" s="7">
        <v>3829</v>
      </c>
      <c r="C176" s="8">
        <v>3345</v>
      </c>
      <c r="D176" s="9">
        <v>3987</v>
      </c>
    </row>
    <row r="177" spans="1:4" x14ac:dyDescent="0.25">
      <c r="A177" s="13">
        <v>46106</v>
      </c>
      <c r="B177" s="10">
        <v>3744</v>
      </c>
      <c r="C177" s="11">
        <v>4433</v>
      </c>
      <c r="D177" s="12">
        <v>3926</v>
      </c>
    </row>
    <row r="178" spans="1:4" x14ac:dyDescent="0.25">
      <c r="A178" s="13">
        <v>46107</v>
      </c>
      <c r="B178" s="7">
        <v>4501</v>
      </c>
      <c r="C178" s="8">
        <v>4285</v>
      </c>
      <c r="D178" s="9">
        <v>3619</v>
      </c>
    </row>
    <row r="179" spans="1:4" x14ac:dyDescent="0.25">
      <c r="A179" s="13">
        <v>46108</v>
      </c>
      <c r="B179" s="10">
        <v>4726</v>
      </c>
      <c r="C179" s="11">
        <v>3226</v>
      </c>
      <c r="D179" s="12">
        <v>4435</v>
      </c>
    </row>
    <row r="180" spans="1:4" x14ac:dyDescent="0.25">
      <c r="A180" s="13">
        <v>46109</v>
      </c>
      <c r="B180" s="7">
        <v>3730</v>
      </c>
      <c r="C180" s="8">
        <v>4461</v>
      </c>
      <c r="D180" s="9">
        <v>4298</v>
      </c>
    </row>
    <row r="181" spans="1:4" x14ac:dyDescent="0.25">
      <c r="A181" s="13">
        <v>46110</v>
      </c>
      <c r="B181" s="10">
        <v>3956</v>
      </c>
      <c r="C181" s="11">
        <v>3914</v>
      </c>
      <c r="D181" s="12">
        <v>3766</v>
      </c>
    </row>
    <row r="182" spans="1:4" x14ac:dyDescent="0.25">
      <c r="A182" s="13">
        <v>46111</v>
      </c>
      <c r="B182" s="7">
        <v>4579</v>
      </c>
      <c r="C182" s="8">
        <v>4170</v>
      </c>
      <c r="D182" s="9">
        <v>3799</v>
      </c>
    </row>
    <row r="183" spans="1:4" x14ac:dyDescent="0.25">
      <c r="A183" s="13">
        <v>46112</v>
      </c>
      <c r="B183" s="1">
        <v>4997</v>
      </c>
      <c r="C183" s="2">
        <v>3750</v>
      </c>
      <c r="D183" s="3">
        <v>4428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B6AFE-3ECC-4967-A4BA-2ADFC8D5E21C}">
  <dimension ref="A1:M184"/>
  <sheetViews>
    <sheetView tabSelected="1" workbookViewId="0">
      <selection activeCell="P28" sqref="P28"/>
    </sheetView>
  </sheetViews>
  <sheetFormatPr defaultRowHeight="15" x14ac:dyDescent="0.25"/>
  <cols>
    <col min="1" max="1" width="10.140625" bestFit="1" customWidth="1"/>
    <col min="2" max="2" width="11.5703125" bestFit="1" customWidth="1"/>
    <col min="3" max="3" width="17.28515625" bestFit="1" customWidth="1"/>
    <col min="4" max="4" width="14" bestFit="1" customWidth="1"/>
    <col min="8" max="9" width="14.42578125" bestFit="1" customWidth="1"/>
    <col min="10" max="10" width="14.28515625" bestFit="1" customWidth="1"/>
  </cols>
  <sheetData>
    <row r="1" spans="1:13" x14ac:dyDescent="0.25">
      <c r="A1" t="s">
        <v>3</v>
      </c>
      <c r="B1" s="4" t="s">
        <v>0</v>
      </c>
      <c r="C1" s="5" t="s">
        <v>1</v>
      </c>
      <c r="D1" s="6" t="s">
        <v>2</v>
      </c>
      <c r="E1" s="15" t="s">
        <v>22</v>
      </c>
      <c r="F1" s="15" t="s">
        <v>23</v>
      </c>
      <c r="G1" s="15" t="s">
        <v>24</v>
      </c>
      <c r="H1" s="15" t="s">
        <v>25</v>
      </c>
      <c r="I1" s="15" t="s">
        <v>26</v>
      </c>
      <c r="J1" s="15" t="s">
        <v>27</v>
      </c>
      <c r="K1" s="15" t="s">
        <v>28</v>
      </c>
    </row>
    <row r="2" spans="1:13" x14ac:dyDescent="0.25">
      <c r="A2" s="13">
        <v>45931</v>
      </c>
      <c r="B2" s="7">
        <v>3486</v>
      </c>
      <c r="C2" s="8">
        <v>3232</v>
      </c>
      <c r="D2" s="9">
        <v>4197</v>
      </c>
      <c r="E2" s="18">
        <f>B2-60*H2</f>
        <v>6</v>
      </c>
      <c r="F2" s="18">
        <f t="shared" ref="F2:G17" si="0">C2-60*I2</f>
        <v>52</v>
      </c>
      <c r="G2" s="18">
        <f>D2-60*J2</f>
        <v>57</v>
      </c>
      <c r="H2">
        <f>ROUNDDOWN(B2/60,0)</f>
        <v>58</v>
      </c>
      <c r="I2">
        <f>ROUNDDOWN(C2/60,0)</f>
        <v>53</v>
      </c>
      <c r="J2">
        <f>ROUNDDOWN(D2/60,0)</f>
        <v>69</v>
      </c>
      <c r="K2">
        <f>IF(AND(E2=0,F2=0,G2=0),1,0)</f>
        <v>0</v>
      </c>
      <c r="L2">
        <f>SUM(K2:K183)</f>
        <v>4</v>
      </c>
    </row>
    <row r="3" spans="1:13" x14ac:dyDescent="0.25">
      <c r="A3" s="13">
        <v>45932</v>
      </c>
      <c r="B3" s="10">
        <v>4960</v>
      </c>
      <c r="C3" s="11">
        <v>2504</v>
      </c>
      <c r="D3" s="12">
        <v>3583</v>
      </c>
      <c r="E3" s="18">
        <f>IF(B3-60*H3&gt;0,B3-60*H3,0)</f>
        <v>40</v>
      </c>
      <c r="F3" s="18">
        <f>IF(C3-60*I3&gt;0,C3-60*I3,0)</f>
        <v>0</v>
      </c>
      <c r="G3" s="18">
        <f>IF(D3-60*J3&gt;0,D3-60*J3,0)</f>
        <v>0</v>
      </c>
      <c r="H3">
        <f>ROUNDDOWN((B3+E2)/60,0)</f>
        <v>82</v>
      </c>
      <c r="I3">
        <f>ROUNDDOWN((C3+F2)/60,0)</f>
        <v>42</v>
      </c>
      <c r="J3">
        <f t="shared" ref="I3:J18" si="1">ROUNDDOWN((D3+G2)/60,0)</f>
        <v>60</v>
      </c>
      <c r="K3">
        <f t="shared" ref="K3:K66" si="2">IF(AND(E3=0,F3=0,G3=0),1,0)</f>
        <v>0</v>
      </c>
    </row>
    <row r="4" spans="1:13" x14ac:dyDescent="0.25">
      <c r="A4" s="13">
        <v>45933</v>
      </c>
      <c r="B4" s="7">
        <v>3662</v>
      </c>
      <c r="C4" s="8">
        <v>4613</v>
      </c>
      <c r="D4" s="9">
        <v>3929</v>
      </c>
      <c r="E4" s="18">
        <f t="shared" ref="E4:E67" si="3">IF(B4-60*H4&gt;0,B4-60*H4,0)</f>
        <v>2</v>
      </c>
      <c r="F4" s="18">
        <f t="shared" ref="F4:F67" si="4">IF(C4-60*I4&gt;0,C4-60*I4,0)</f>
        <v>53</v>
      </c>
      <c r="G4" s="18">
        <f t="shared" ref="G4:G67" si="5">IF(D4-60*J4&gt;0,D4-60*J4,0)</f>
        <v>29</v>
      </c>
      <c r="H4">
        <f t="shared" ref="H4:J67" si="6">ROUNDDOWN((B4+E3)/60,0)</f>
        <v>61</v>
      </c>
      <c r="I4">
        <f t="shared" si="1"/>
        <v>76</v>
      </c>
      <c r="J4">
        <f t="shared" si="1"/>
        <v>65</v>
      </c>
      <c r="K4">
        <f t="shared" si="2"/>
        <v>0</v>
      </c>
    </row>
    <row r="5" spans="1:13" x14ac:dyDescent="0.25">
      <c r="A5" s="13">
        <v>45934</v>
      </c>
      <c r="B5" s="10">
        <v>4123</v>
      </c>
      <c r="C5" s="11">
        <v>4186</v>
      </c>
      <c r="D5" s="12">
        <v>3527</v>
      </c>
      <c r="E5" s="18">
        <f t="shared" si="3"/>
        <v>43</v>
      </c>
      <c r="F5" s="18">
        <f t="shared" si="4"/>
        <v>0</v>
      </c>
      <c r="G5" s="18">
        <f t="shared" si="5"/>
        <v>0</v>
      </c>
      <c r="H5">
        <f t="shared" si="6"/>
        <v>68</v>
      </c>
      <c r="I5">
        <f t="shared" si="1"/>
        <v>70</v>
      </c>
      <c r="J5">
        <f t="shared" si="1"/>
        <v>59</v>
      </c>
      <c r="K5">
        <f t="shared" si="2"/>
        <v>0</v>
      </c>
      <c r="M5">
        <f>MAX(H2:J183)</f>
        <v>84</v>
      </c>
    </row>
    <row r="6" spans="1:13" x14ac:dyDescent="0.25">
      <c r="A6" s="13">
        <v>45935</v>
      </c>
      <c r="B6" s="7">
        <v>4729</v>
      </c>
      <c r="C6" s="8">
        <v>3850</v>
      </c>
      <c r="D6" s="9">
        <v>4169</v>
      </c>
      <c r="E6" s="18">
        <f t="shared" si="3"/>
        <v>0</v>
      </c>
      <c r="F6" s="18">
        <f t="shared" si="4"/>
        <v>10</v>
      </c>
      <c r="G6" s="18">
        <f t="shared" si="5"/>
        <v>29</v>
      </c>
      <c r="H6">
        <f t="shared" si="6"/>
        <v>79</v>
      </c>
      <c r="I6">
        <f t="shared" si="1"/>
        <v>64</v>
      </c>
      <c r="J6">
        <f t="shared" si="1"/>
        <v>69</v>
      </c>
      <c r="K6">
        <f t="shared" si="2"/>
        <v>0</v>
      </c>
    </row>
    <row r="7" spans="1:13" x14ac:dyDescent="0.25">
      <c r="A7" s="13">
        <v>45936</v>
      </c>
      <c r="B7" s="10">
        <v>4219</v>
      </c>
      <c r="C7" s="11">
        <v>4006</v>
      </c>
      <c r="D7" s="12">
        <v>3604</v>
      </c>
      <c r="E7" s="18">
        <f t="shared" si="3"/>
        <v>19</v>
      </c>
      <c r="F7" s="18">
        <f t="shared" si="4"/>
        <v>46</v>
      </c>
      <c r="G7" s="18">
        <f t="shared" si="5"/>
        <v>4</v>
      </c>
      <c r="H7">
        <f t="shared" si="6"/>
        <v>70</v>
      </c>
      <c r="I7">
        <f t="shared" si="1"/>
        <v>66</v>
      </c>
      <c r="J7">
        <f t="shared" si="1"/>
        <v>60</v>
      </c>
      <c r="K7">
        <f t="shared" si="2"/>
        <v>0</v>
      </c>
    </row>
    <row r="8" spans="1:13" x14ac:dyDescent="0.25">
      <c r="A8" s="13">
        <v>45937</v>
      </c>
      <c r="B8" s="7">
        <v>4159</v>
      </c>
      <c r="C8" s="8">
        <v>4617</v>
      </c>
      <c r="D8" s="9">
        <v>4245</v>
      </c>
      <c r="E8" s="18">
        <f t="shared" si="3"/>
        <v>19</v>
      </c>
      <c r="F8" s="18">
        <f t="shared" si="4"/>
        <v>0</v>
      </c>
      <c r="G8" s="18">
        <f t="shared" si="5"/>
        <v>45</v>
      </c>
      <c r="H8">
        <f t="shared" si="6"/>
        <v>69</v>
      </c>
      <c r="I8">
        <f t="shared" si="1"/>
        <v>77</v>
      </c>
      <c r="J8">
        <f t="shared" si="1"/>
        <v>70</v>
      </c>
      <c r="K8">
        <f t="shared" si="2"/>
        <v>0</v>
      </c>
    </row>
    <row r="9" spans="1:13" x14ac:dyDescent="0.25">
      <c r="A9" s="13">
        <v>45938</v>
      </c>
      <c r="B9" s="10">
        <v>4831</v>
      </c>
      <c r="C9" s="11">
        <v>2933</v>
      </c>
      <c r="D9" s="12">
        <v>4396</v>
      </c>
      <c r="E9" s="18">
        <f t="shared" si="3"/>
        <v>31</v>
      </c>
      <c r="F9" s="18">
        <f t="shared" si="4"/>
        <v>53</v>
      </c>
      <c r="G9" s="18">
        <f t="shared" si="5"/>
        <v>0</v>
      </c>
      <c r="H9">
        <f t="shared" si="6"/>
        <v>80</v>
      </c>
      <c r="I9">
        <f t="shared" si="1"/>
        <v>48</v>
      </c>
      <c r="J9">
        <f t="shared" si="1"/>
        <v>74</v>
      </c>
      <c r="K9">
        <f t="shared" si="2"/>
        <v>0</v>
      </c>
    </row>
    <row r="10" spans="1:13" x14ac:dyDescent="0.25">
      <c r="A10" s="13">
        <v>45939</v>
      </c>
      <c r="B10" s="7">
        <v>3679</v>
      </c>
      <c r="C10" s="8">
        <v>4671</v>
      </c>
      <c r="D10" s="9">
        <v>4429</v>
      </c>
      <c r="E10" s="18">
        <f t="shared" si="3"/>
        <v>19</v>
      </c>
      <c r="F10" s="18">
        <f t="shared" si="4"/>
        <v>0</v>
      </c>
      <c r="G10" s="18">
        <f t="shared" si="5"/>
        <v>49</v>
      </c>
      <c r="H10">
        <f t="shared" si="6"/>
        <v>61</v>
      </c>
      <c r="I10">
        <f t="shared" si="1"/>
        <v>78</v>
      </c>
      <c r="J10">
        <f t="shared" si="1"/>
        <v>73</v>
      </c>
      <c r="K10">
        <f t="shared" si="2"/>
        <v>0</v>
      </c>
    </row>
    <row r="11" spans="1:13" x14ac:dyDescent="0.25">
      <c r="A11" s="13">
        <v>45940</v>
      </c>
      <c r="B11" s="10">
        <v>4005</v>
      </c>
      <c r="C11" s="11">
        <v>4305</v>
      </c>
      <c r="D11" s="12">
        <v>3752</v>
      </c>
      <c r="E11" s="18">
        <f t="shared" si="3"/>
        <v>0</v>
      </c>
      <c r="F11" s="18">
        <f t="shared" si="4"/>
        <v>45</v>
      </c>
      <c r="G11" s="18">
        <f t="shared" si="5"/>
        <v>0</v>
      </c>
      <c r="H11">
        <f t="shared" si="6"/>
        <v>67</v>
      </c>
      <c r="I11">
        <f t="shared" si="1"/>
        <v>71</v>
      </c>
      <c r="J11">
        <f t="shared" si="1"/>
        <v>63</v>
      </c>
      <c r="K11">
        <f t="shared" si="2"/>
        <v>0</v>
      </c>
    </row>
    <row r="12" spans="1:13" x14ac:dyDescent="0.25">
      <c r="A12" s="13">
        <v>45941</v>
      </c>
      <c r="B12" s="7">
        <v>3943</v>
      </c>
      <c r="C12" s="8">
        <v>3667</v>
      </c>
      <c r="D12" s="9">
        <v>3663</v>
      </c>
      <c r="E12" s="18">
        <f t="shared" si="3"/>
        <v>43</v>
      </c>
      <c r="F12" s="18">
        <f t="shared" si="4"/>
        <v>7</v>
      </c>
      <c r="G12" s="18">
        <f t="shared" si="5"/>
        <v>3</v>
      </c>
      <c r="H12">
        <f t="shared" si="6"/>
        <v>65</v>
      </c>
      <c r="I12">
        <f t="shared" si="1"/>
        <v>61</v>
      </c>
      <c r="J12">
        <f t="shared" si="1"/>
        <v>61</v>
      </c>
      <c r="K12">
        <f t="shared" si="2"/>
        <v>0</v>
      </c>
    </row>
    <row r="13" spans="1:13" x14ac:dyDescent="0.25">
      <c r="A13" s="13">
        <v>45942</v>
      </c>
      <c r="B13" s="10">
        <v>3904</v>
      </c>
      <c r="C13" s="11">
        <v>3432</v>
      </c>
      <c r="D13" s="12">
        <v>4493</v>
      </c>
      <c r="E13" s="18">
        <f t="shared" si="3"/>
        <v>4</v>
      </c>
      <c r="F13" s="18">
        <f t="shared" si="4"/>
        <v>12</v>
      </c>
      <c r="G13" s="18">
        <f t="shared" si="5"/>
        <v>53</v>
      </c>
      <c r="H13">
        <f t="shared" si="6"/>
        <v>65</v>
      </c>
      <c r="I13">
        <f t="shared" si="1"/>
        <v>57</v>
      </c>
      <c r="J13">
        <f t="shared" si="1"/>
        <v>74</v>
      </c>
      <c r="K13">
        <f t="shared" si="2"/>
        <v>0</v>
      </c>
    </row>
    <row r="14" spans="1:13" x14ac:dyDescent="0.25">
      <c r="A14" s="13">
        <v>45943</v>
      </c>
      <c r="B14" s="7">
        <v>4521</v>
      </c>
      <c r="C14" s="8">
        <v>3098</v>
      </c>
      <c r="D14" s="9">
        <v>4316</v>
      </c>
      <c r="E14" s="18">
        <f t="shared" si="3"/>
        <v>21</v>
      </c>
      <c r="F14" s="18">
        <f t="shared" si="4"/>
        <v>38</v>
      </c>
      <c r="G14" s="18">
        <f t="shared" si="5"/>
        <v>0</v>
      </c>
      <c r="H14">
        <f t="shared" si="6"/>
        <v>75</v>
      </c>
      <c r="I14">
        <f t="shared" si="1"/>
        <v>51</v>
      </c>
      <c r="J14">
        <f t="shared" si="1"/>
        <v>72</v>
      </c>
      <c r="K14">
        <f t="shared" si="2"/>
        <v>0</v>
      </c>
    </row>
    <row r="15" spans="1:13" x14ac:dyDescent="0.25">
      <c r="A15" s="13">
        <v>45944</v>
      </c>
      <c r="B15" s="10">
        <v>3388</v>
      </c>
      <c r="C15" s="11">
        <v>4492</v>
      </c>
      <c r="D15" s="12">
        <v>3501</v>
      </c>
      <c r="E15" s="18">
        <f t="shared" si="3"/>
        <v>28</v>
      </c>
      <c r="F15" s="18">
        <f t="shared" si="4"/>
        <v>0</v>
      </c>
      <c r="G15" s="18">
        <f t="shared" si="5"/>
        <v>21</v>
      </c>
      <c r="H15">
        <f t="shared" si="6"/>
        <v>56</v>
      </c>
      <c r="I15">
        <f t="shared" si="1"/>
        <v>75</v>
      </c>
      <c r="J15">
        <f t="shared" si="1"/>
        <v>58</v>
      </c>
      <c r="K15">
        <f t="shared" si="2"/>
        <v>0</v>
      </c>
    </row>
    <row r="16" spans="1:13" x14ac:dyDescent="0.25">
      <c r="A16" s="13">
        <v>45945</v>
      </c>
      <c r="B16" s="7">
        <v>4550</v>
      </c>
      <c r="C16" s="8">
        <v>3393</v>
      </c>
      <c r="D16" s="9">
        <v>4195</v>
      </c>
      <c r="E16" s="18">
        <f t="shared" si="3"/>
        <v>0</v>
      </c>
      <c r="F16" s="18">
        <f t="shared" si="4"/>
        <v>33</v>
      </c>
      <c r="G16" s="18">
        <f t="shared" si="5"/>
        <v>0</v>
      </c>
      <c r="H16">
        <f t="shared" si="6"/>
        <v>76</v>
      </c>
      <c r="I16">
        <f t="shared" si="1"/>
        <v>56</v>
      </c>
      <c r="J16">
        <f t="shared" si="1"/>
        <v>70</v>
      </c>
      <c r="K16">
        <f t="shared" si="2"/>
        <v>0</v>
      </c>
    </row>
    <row r="17" spans="1:11" x14ac:dyDescent="0.25">
      <c r="A17" s="13">
        <v>45946</v>
      </c>
      <c r="B17" s="10">
        <v>3471</v>
      </c>
      <c r="C17" s="11">
        <v>2930</v>
      </c>
      <c r="D17" s="12">
        <v>3843</v>
      </c>
      <c r="E17" s="18">
        <f t="shared" si="3"/>
        <v>51</v>
      </c>
      <c r="F17" s="18">
        <f t="shared" si="4"/>
        <v>0</v>
      </c>
      <c r="G17" s="18">
        <f t="shared" si="5"/>
        <v>3</v>
      </c>
      <c r="H17">
        <f t="shared" si="6"/>
        <v>57</v>
      </c>
      <c r="I17">
        <f t="shared" si="1"/>
        <v>49</v>
      </c>
      <c r="J17">
        <f t="shared" si="1"/>
        <v>64</v>
      </c>
      <c r="K17">
        <f t="shared" si="2"/>
        <v>0</v>
      </c>
    </row>
    <row r="18" spans="1:11" x14ac:dyDescent="0.25">
      <c r="A18" s="13">
        <v>45947</v>
      </c>
      <c r="B18" s="7">
        <v>3774</v>
      </c>
      <c r="C18" s="8">
        <v>3220</v>
      </c>
      <c r="D18" s="9">
        <v>3684</v>
      </c>
      <c r="E18" s="18">
        <f t="shared" si="3"/>
        <v>0</v>
      </c>
      <c r="F18" s="18">
        <f t="shared" si="4"/>
        <v>40</v>
      </c>
      <c r="G18" s="18">
        <f t="shared" si="5"/>
        <v>24</v>
      </c>
      <c r="H18">
        <f t="shared" si="6"/>
        <v>63</v>
      </c>
      <c r="I18">
        <f t="shared" si="1"/>
        <v>53</v>
      </c>
      <c r="J18">
        <f t="shared" si="1"/>
        <v>61</v>
      </c>
      <c r="K18">
        <f t="shared" si="2"/>
        <v>0</v>
      </c>
    </row>
    <row r="19" spans="1:11" x14ac:dyDescent="0.25">
      <c r="A19" s="13">
        <v>45948</v>
      </c>
      <c r="B19" s="10">
        <v>4296</v>
      </c>
      <c r="C19" s="11">
        <v>3366</v>
      </c>
      <c r="D19" s="12">
        <v>3726</v>
      </c>
      <c r="E19" s="18">
        <f t="shared" si="3"/>
        <v>36</v>
      </c>
      <c r="F19" s="18">
        <f t="shared" si="4"/>
        <v>6</v>
      </c>
      <c r="G19" s="18">
        <f t="shared" si="5"/>
        <v>6</v>
      </c>
      <c r="H19">
        <f t="shared" si="6"/>
        <v>71</v>
      </c>
      <c r="I19">
        <f t="shared" si="6"/>
        <v>56</v>
      </c>
      <c r="J19">
        <f t="shared" si="6"/>
        <v>62</v>
      </c>
      <c r="K19">
        <f t="shared" si="2"/>
        <v>0</v>
      </c>
    </row>
    <row r="20" spans="1:11" x14ac:dyDescent="0.25">
      <c r="A20" s="13">
        <v>45949</v>
      </c>
      <c r="B20" s="7">
        <v>4491</v>
      </c>
      <c r="C20" s="8">
        <v>3368</v>
      </c>
      <c r="D20" s="9">
        <v>4178</v>
      </c>
      <c r="E20" s="18">
        <f t="shared" si="3"/>
        <v>0</v>
      </c>
      <c r="F20" s="18">
        <f t="shared" si="4"/>
        <v>8</v>
      </c>
      <c r="G20" s="18">
        <f t="shared" si="5"/>
        <v>38</v>
      </c>
      <c r="H20">
        <f t="shared" si="6"/>
        <v>75</v>
      </c>
      <c r="I20">
        <f t="shared" si="6"/>
        <v>56</v>
      </c>
      <c r="J20">
        <f t="shared" si="6"/>
        <v>69</v>
      </c>
      <c r="K20">
        <f t="shared" si="2"/>
        <v>0</v>
      </c>
    </row>
    <row r="21" spans="1:11" x14ac:dyDescent="0.25">
      <c r="A21" s="13">
        <v>45950</v>
      </c>
      <c r="B21" s="10">
        <v>3951</v>
      </c>
      <c r="C21" s="11">
        <v>3372</v>
      </c>
      <c r="D21" s="12">
        <v>3891</v>
      </c>
      <c r="E21" s="18">
        <f t="shared" si="3"/>
        <v>51</v>
      </c>
      <c r="F21" s="18">
        <f t="shared" si="4"/>
        <v>12</v>
      </c>
      <c r="G21" s="18">
        <f t="shared" si="5"/>
        <v>0</v>
      </c>
      <c r="H21">
        <f t="shared" si="6"/>
        <v>65</v>
      </c>
      <c r="I21">
        <f t="shared" si="6"/>
        <v>56</v>
      </c>
      <c r="J21">
        <f t="shared" si="6"/>
        <v>65</v>
      </c>
      <c r="K21">
        <f t="shared" si="2"/>
        <v>0</v>
      </c>
    </row>
    <row r="22" spans="1:11" x14ac:dyDescent="0.25">
      <c r="A22" s="13">
        <v>45951</v>
      </c>
      <c r="B22" s="7">
        <v>4491</v>
      </c>
      <c r="C22" s="8">
        <v>3752</v>
      </c>
      <c r="D22" s="9">
        <v>3860</v>
      </c>
      <c r="E22" s="18">
        <f t="shared" si="3"/>
        <v>0</v>
      </c>
      <c r="F22" s="18">
        <f t="shared" si="4"/>
        <v>32</v>
      </c>
      <c r="G22" s="18">
        <f t="shared" si="5"/>
        <v>20</v>
      </c>
      <c r="H22">
        <f t="shared" si="6"/>
        <v>75</v>
      </c>
      <c r="I22">
        <f t="shared" si="6"/>
        <v>62</v>
      </c>
      <c r="J22">
        <f t="shared" si="6"/>
        <v>64</v>
      </c>
      <c r="K22">
        <f t="shared" si="2"/>
        <v>0</v>
      </c>
    </row>
    <row r="23" spans="1:11" x14ac:dyDescent="0.25">
      <c r="A23" s="13">
        <v>45952</v>
      </c>
      <c r="B23" s="10">
        <v>3653</v>
      </c>
      <c r="C23" s="11">
        <v>4480</v>
      </c>
      <c r="D23" s="12">
        <v>3510</v>
      </c>
      <c r="E23" s="18">
        <f t="shared" si="3"/>
        <v>53</v>
      </c>
      <c r="F23" s="18">
        <f t="shared" si="4"/>
        <v>0</v>
      </c>
      <c r="G23" s="18">
        <f t="shared" si="5"/>
        <v>30</v>
      </c>
      <c r="H23">
        <f t="shared" si="6"/>
        <v>60</v>
      </c>
      <c r="I23">
        <f t="shared" si="6"/>
        <v>75</v>
      </c>
      <c r="J23">
        <f t="shared" si="6"/>
        <v>58</v>
      </c>
      <c r="K23">
        <f t="shared" si="2"/>
        <v>0</v>
      </c>
    </row>
    <row r="24" spans="1:11" x14ac:dyDescent="0.25">
      <c r="A24" s="13">
        <v>45953</v>
      </c>
      <c r="B24" s="7">
        <v>3848</v>
      </c>
      <c r="C24" s="8">
        <v>4019</v>
      </c>
      <c r="D24" s="9">
        <v>3715</v>
      </c>
      <c r="E24" s="18">
        <f t="shared" si="3"/>
        <v>0</v>
      </c>
      <c r="F24" s="18">
        <f t="shared" si="4"/>
        <v>59</v>
      </c>
      <c r="G24" s="18">
        <f t="shared" si="5"/>
        <v>0</v>
      </c>
      <c r="H24">
        <f t="shared" si="6"/>
        <v>65</v>
      </c>
      <c r="I24">
        <f t="shared" si="6"/>
        <v>66</v>
      </c>
      <c r="J24">
        <f t="shared" si="6"/>
        <v>62</v>
      </c>
      <c r="K24">
        <f t="shared" si="2"/>
        <v>0</v>
      </c>
    </row>
    <row r="25" spans="1:11" x14ac:dyDescent="0.25">
      <c r="A25" s="13">
        <v>45954</v>
      </c>
      <c r="B25" s="10">
        <v>3915</v>
      </c>
      <c r="C25" s="11">
        <v>4415</v>
      </c>
      <c r="D25" s="12">
        <v>4302</v>
      </c>
      <c r="E25" s="18">
        <f t="shared" si="3"/>
        <v>15</v>
      </c>
      <c r="F25" s="18">
        <f t="shared" si="4"/>
        <v>0</v>
      </c>
      <c r="G25" s="18">
        <f t="shared" si="5"/>
        <v>42</v>
      </c>
      <c r="H25">
        <f t="shared" si="6"/>
        <v>65</v>
      </c>
      <c r="I25">
        <f t="shared" si="6"/>
        <v>74</v>
      </c>
      <c r="J25">
        <f t="shared" si="6"/>
        <v>71</v>
      </c>
      <c r="K25">
        <f t="shared" si="2"/>
        <v>0</v>
      </c>
    </row>
    <row r="26" spans="1:11" x14ac:dyDescent="0.25">
      <c r="A26" s="13">
        <v>45955</v>
      </c>
      <c r="B26" s="7">
        <v>3876</v>
      </c>
      <c r="C26" s="8">
        <v>4802</v>
      </c>
      <c r="D26" s="9">
        <v>3939</v>
      </c>
      <c r="E26" s="18">
        <f t="shared" si="3"/>
        <v>36</v>
      </c>
      <c r="F26" s="18">
        <f t="shared" si="4"/>
        <v>2</v>
      </c>
      <c r="G26" s="18">
        <f t="shared" si="5"/>
        <v>0</v>
      </c>
      <c r="H26">
        <f t="shared" si="6"/>
        <v>64</v>
      </c>
      <c r="I26">
        <f t="shared" si="6"/>
        <v>80</v>
      </c>
      <c r="J26">
        <f t="shared" si="6"/>
        <v>66</v>
      </c>
      <c r="K26">
        <f t="shared" si="2"/>
        <v>0</v>
      </c>
    </row>
    <row r="27" spans="1:11" x14ac:dyDescent="0.25">
      <c r="A27" s="13">
        <v>45956</v>
      </c>
      <c r="B27" s="10">
        <v>4335</v>
      </c>
      <c r="C27" s="11">
        <v>2508</v>
      </c>
      <c r="D27" s="12">
        <v>4460</v>
      </c>
      <c r="E27" s="18">
        <f t="shared" si="3"/>
        <v>15</v>
      </c>
      <c r="F27" s="18">
        <f t="shared" si="4"/>
        <v>48</v>
      </c>
      <c r="G27" s="18">
        <f t="shared" si="5"/>
        <v>20</v>
      </c>
      <c r="H27">
        <f t="shared" si="6"/>
        <v>72</v>
      </c>
      <c r="I27">
        <f t="shared" si="6"/>
        <v>41</v>
      </c>
      <c r="J27">
        <f t="shared" si="6"/>
        <v>74</v>
      </c>
      <c r="K27">
        <f t="shared" si="2"/>
        <v>0</v>
      </c>
    </row>
    <row r="28" spans="1:11" x14ac:dyDescent="0.25">
      <c r="A28" s="13">
        <v>45957</v>
      </c>
      <c r="B28" s="7">
        <v>3418</v>
      </c>
      <c r="C28" s="8">
        <v>3594</v>
      </c>
      <c r="D28" s="9">
        <v>3846</v>
      </c>
      <c r="E28" s="18">
        <f t="shared" si="3"/>
        <v>0</v>
      </c>
      <c r="F28" s="18">
        <f t="shared" si="4"/>
        <v>0</v>
      </c>
      <c r="G28" s="18">
        <f t="shared" si="5"/>
        <v>6</v>
      </c>
      <c r="H28">
        <f t="shared" si="6"/>
        <v>57</v>
      </c>
      <c r="I28">
        <f t="shared" si="6"/>
        <v>60</v>
      </c>
      <c r="J28">
        <f t="shared" si="6"/>
        <v>64</v>
      </c>
      <c r="K28">
        <f t="shared" si="2"/>
        <v>0</v>
      </c>
    </row>
    <row r="29" spans="1:11" x14ac:dyDescent="0.25">
      <c r="A29" s="13">
        <v>45958</v>
      </c>
      <c r="B29" s="10">
        <v>3230</v>
      </c>
      <c r="C29" s="11">
        <v>2774</v>
      </c>
      <c r="D29" s="12">
        <v>4242</v>
      </c>
      <c r="E29" s="18">
        <f t="shared" si="3"/>
        <v>50</v>
      </c>
      <c r="F29" s="18">
        <f t="shared" si="4"/>
        <v>14</v>
      </c>
      <c r="G29" s="18">
        <f t="shared" si="5"/>
        <v>42</v>
      </c>
      <c r="H29">
        <f t="shared" si="6"/>
        <v>53</v>
      </c>
      <c r="I29">
        <f t="shared" si="6"/>
        <v>46</v>
      </c>
      <c r="J29">
        <f t="shared" si="6"/>
        <v>70</v>
      </c>
      <c r="K29">
        <f t="shared" si="2"/>
        <v>0</v>
      </c>
    </row>
    <row r="30" spans="1:11" x14ac:dyDescent="0.25">
      <c r="A30" s="13">
        <v>45959</v>
      </c>
      <c r="B30" s="7">
        <v>3066</v>
      </c>
      <c r="C30" s="8">
        <v>3374</v>
      </c>
      <c r="D30" s="9">
        <v>3664</v>
      </c>
      <c r="E30" s="18">
        <f t="shared" si="3"/>
        <v>6</v>
      </c>
      <c r="F30" s="18">
        <f t="shared" si="4"/>
        <v>14</v>
      </c>
      <c r="G30" s="18">
        <f t="shared" si="5"/>
        <v>4</v>
      </c>
      <c r="H30">
        <f t="shared" si="6"/>
        <v>51</v>
      </c>
      <c r="I30">
        <f t="shared" si="6"/>
        <v>56</v>
      </c>
      <c r="J30">
        <f t="shared" si="6"/>
        <v>61</v>
      </c>
      <c r="K30">
        <f t="shared" si="2"/>
        <v>0</v>
      </c>
    </row>
    <row r="31" spans="1:11" x14ac:dyDescent="0.25">
      <c r="A31" s="13">
        <v>45960</v>
      </c>
      <c r="B31" s="10">
        <v>4823</v>
      </c>
      <c r="C31" s="11">
        <v>4830</v>
      </c>
      <c r="D31" s="12">
        <v>4315</v>
      </c>
      <c r="E31" s="18">
        <f t="shared" si="3"/>
        <v>23</v>
      </c>
      <c r="F31" s="18">
        <f t="shared" si="4"/>
        <v>30</v>
      </c>
      <c r="G31" s="18">
        <f t="shared" si="5"/>
        <v>55</v>
      </c>
      <c r="H31">
        <f t="shared" si="6"/>
        <v>80</v>
      </c>
      <c r="I31">
        <f t="shared" si="6"/>
        <v>80</v>
      </c>
      <c r="J31">
        <f t="shared" si="6"/>
        <v>71</v>
      </c>
      <c r="K31">
        <f t="shared" si="2"/>
        <v>0</v>
      </c>
    </row>
    <row r="32" spans="1:11" x14ac:dyDescent="0.25">
      <c r="A32" s="13">
        <v>45961</v>
      </c>
      <c r="B32" s="7">
        <v>3533</v>
      </c>
      <c r="C32" s="8">
        <v>2866</v>
      </c>
      <c r="D32" s="9">
        <v>3680</v>
      </c>
      <c r="E32" s="18">
        <f t="shared" si="3"/>
        <v>0</v>
      </c>
      <c r="F32" s="18">
        <f t="shared" si="4"/>
        <v>0</v>
      </c>
      <c r="G32" s="18">
        <f t="shared" si="5"/>
        <v>0</v>
      </c>
      <c r="H32">
        <f t="shared" si="6"/>
        <v>59</v>
      </c>
      <c r="I32">
        <f t="shared" si="6"/>
        <v>48</v>
      </c>
      <c r="J32">
        <f t="shared" si="6"/>
        <v>62</v>
      </c>
      <c r="K32">
        <f t="shared" si="2"/>
        <v>1</v>
      </c>
    </row>
    <row r="33" spans="1:11" x14ac:dyDescent="0.25">
      <c r="A33" s="13">
        <v>45962</v>
      </c>
      <c r="B33" s="10">
        <v>4965</v>
      </c>
      <c r="C33" s="11">
        <v>4199</v>
      </c>
      <c r="D33" s="12">
        <v>4055</v>
      </c>
      <c r="E33" s="18">
        <f t="shared" si="3"/>
        <v>45</v>
      </c>
      <c r="F33" s="18">
        <f t="shared" si="4"/>
        <v>59</v>
      </c>
      <c r="G33" s="18">
        <f t="shared" si="5"/>
        <v>35</v>
      </c>
      <c r="H33">
        <f t="shared" si="6"/>
        <v>82</v>
      </c>
      <c r="I33">
        <f t="shared" si="6"/>
        <v>69</v>
      </c>
      <c r="J33">
        <f t="shared" si="6"/>
        <v>67</v>
      </c>
      <c r="K33">
        <f t="shared" si="2"/>
        <v>0</v>
      </c>
    </row>
    <row r="34" spans="1:11" x14ac:dyDescent="0.25">
      <c r="A34" s="13">
        <v>45963</v>
      </c>
      <c r="B34" s="7">
        <v>4813</v>
      </c>
      <c r="C34" s="8">
        <v>4912</v>
      </c>
      <c r="D34" s="9">
        <v>4436</v>
      </c>
      <c r="E34" s="18">
        <f t="shared" si="3"/>
        <v>13</v>
      </c>
      <c r="F34" s="18">
        <f t="shared" si="4"/>
        <v>0</v>
      </c>
      <c r="G34" s="18">
        <f t="shared" si="5"/>
        <v>0</v>
      </c>
      <c r="H34">
        <f t="shared" si="6"/>
        <v>80</v>
      </c>
      <c r="I34">
        <f t="shared" si="6"/>
        <v>82</v>
      </c>
      <c r="J34">
        <f t="shared" si="6"/>
        <v>74</v>
      </c>
      <c r="K34">
        <f t="shared" si="2"/>
        <v>0</v>
      </c>
    </row>
    <row r="35" spans="1:11" x14ac:dyDescent="0.25">
      <c r="A35" s="13">
        <v>45964</v>
      </c>
      <c r="B35" s="10">
        <v>3837</v>
      </c>
      <c r="C35" s="11">
        <v>2720</v>
      </c>
      <c r="D35" s="12">
        <v>4330</v>
      </c>
      <c r="E35" s="18">
        <f t="shared" si="3"/>
        <v>0</v>
      </c>
      <c r="F35" s="18">
        <f t="shared" si="4"/>
        <v>20</v>
      </c>
      <c r="G35" s="18">
        <f t="shared" si="5"/>
        <v>10</v>
      </c>
      <c r="H35">
        <f t="shared" si="6"/>
        <v>64</v>
      </c>
      <c r="I35">
        <f t="shared" si="6"/>
        <v>45</v>
      </c>
      <c r="J35">
        <f t="shared" si="6"/>
        <v>72</v>
      </c>
      <c r="K35">
        <f t="shared" si="2"/>
        <v>0</v>
      </c>
    </row>
    <row r="36" spans="1:11" x14ac:dyDescent="0.25">
      <c r="A36" s="13">
        <v>45965</v>
      </c>
      <c r="B36" s="7">
        <v>3948</v>
      </c>
      <c r="C36" s="8">
        <v>3545</v>
      </c>
      <c r="D36" s="9">
        <v>3655</v>
      </c>
      <c r="E36" s="18">
        <f t="shared" si="3"/>
        <v>48</v>
      </c>
      <c r="F36" s="18">
        <f t="shared" si="4"/>
        <v>5</v>
      </c>
      <c r="G36" s="18">
        <f t="shared" si="5"/>
        <v>0</v>
      </c>
      <c r="H36">
        <f t="shared" si="6"/>
        <v>65</v>
      </c>
      <c r="I36">
        <f t="shared" si="6"/>
        <v>59</v>
      </c>
      <c r="J36">
        <f t="shared" si="6"/>
        <v>61</v>
      </c>
      <c r="K36">
        <f t="shared" si="2"/>
        <v>0</v>
      </c>
    </row>
    <row r="37" spans="1:11" x14ac:dyDescent="0.25">
      <c r="A37" s="13">
        <v>45966</v>
      </c>
      <c r="B37" s="10">
        <v>3918</v>
      </c>
      <c r="C37" s="11">
        <v>4830</v>
      </c>
      <c r="D37" s="12">
        <v>4285</v>
      </c>
      <c r="E37" s="18">
        <f t="shared" si="3"/>
        <v>0</v>
      </c>
      <c r="F37" s="18">
        <f t="shared" si="4"/>
        <v>30</v>
      </c>
      <c r="G37" s="18">
        <f t="shared" si="5"/>
        <v>25</v>
      </c>
      <c r="H37">
        <f t="shared" si="6"/>
        <v>66</v>
      </c>
      <c r="I37">
        <f t="shared" si="6"/>
        <v>80</v>
      </c>
      <c r="J37">
        <f t="shared" si="6"/>
        <v>71</v>
      </c>
      <c r="K37">
        <f t="shared" si="2"/>
        <v>0</v>
      </c>
    </row>
    <row r="38" spans="1:11" x14ac:dyDescent="0.25">
      <c r="A38" s="13">
        <v>45967</v>
      </c>
      <c r="B38" s="7">
        <v>3301</v>
      </c>
      <c r="C38" s="8">
        <v>3785</v>
      </c>
      <c r="D38" s="9">
        <v>4272</v>
      </c>
      <c r="E38" s="18">
        <f t="shared" si="3"/>
        <v>1</v>
      </c>
      <c r="F38" s="18">
        <f t="shared" si="4"/>
        <v>5</v>
      </c>
      <c r="G38" s="18">
        <f t="shared" si="5"/>
        <v>12</v>
      </c>
      <c r="H38">
        <f t="shared" si="6"/>
        <v>55</v>
      </c>
      <c r="I38">
        <f t="shared" si="6"/>
        <v>63</v>
      </c>
      <c r="J38">
        <f t="shared" si="6"/>
        <v>71</v>
      </c>
      <c r="K38">
        <f t="shared" si="2"/>
        <v>0</v>
      </c>
    </row>
    <row r="39" spans="1:11" x14ac:dyDescent="0.25">
      <c r="A39" s="13">
        <v>45968</v>
      </c>
      <c r="B39" s="10">
        <v>3310</v>
      </c>
      <c r="C39" s="11">
        <v>2716</v>
      </c>
      <c r="D39" s="12">
        <v>4059</v>
      </c>
      <c r="E39" s="18">
        <f t="shared" si="3"/>
        <v>10</v>
      </c>
      <c r="F39" s="18">
        <f t="shared" si="4"/>
        <v>16</v>
      </c>
      <c r="G39" s="18">
        <f t="shared" si="5"/>
        <v>39</v>
      </c>
      <c r="H39">
        <f t="shared" si="6"/>
        <v>55</v>
      </c>
      <c r="I39">
        <f t="shared" si="6"/>
        <v>45</v>
      </c>
      <c r="J39">
        <f t="shared" si="6"/>
        <v>67</v>
      </c>
      <c r="K39">
        <f t="shared" si="2"/>
        <v>0</v>
      </c>
    </row>
    <row r="40" spans="1:11" x14ac:dyDescent="0.25">
      <c r="A40" s="13">
        <v>45969</v>
      </c>
      <c r="B40" s="7">
        <v>4177</v>
      </c>
      <c r="C40" s="8">
        <v>3087</v>
      </c>
      <c r="D40" s="9">
        <v>4270</v>
      </c>
      <c r="E40" s="18">
        <f t="shared" si="3"/>
        <v>37</v>
      </c>
      <c r="F40" s="18">
        <f t="shared" si="4"/>
        <v>27</v>
      </c>
      <c r="G40" s="18">
        <f t="shared" si="5"/>
        <v>10</v>
      </c>
      <c r="H40">
        <f t="shared" si="6"/>
        <v>69</v>
      </c>
      <c r="I40">
        <f t="shared" si="6"/>
        <v>51</v>
      </c>
      <c r="J40">
        <f t="shared" si="6"/>
        <v>71</v>
      </c>
      <c r="K40">
        <f t="shared" si="2"/>
        <v>0</v>
      </c>
    </row>
    <row r="41" spans="1:11" x14ac:dyDescent="0.25">
      <c r="A41" s="13">
        <v>45970</v>
      </c>
      <c r="B41" s="10">
        <v>3646</v>
      </c>
      <c r="C41" s="11">
        <v>4622</v>
      </c>
      <c r="D41" s="12">
        <v>3905</v>
      </c>
      <c r="E41" s="18">
        <f t="shared" si="3"/>
        <v>0</v>
      </c>
      <c r="F41" s="18">
        <f t="shared" si="4"/>
        <v>2</v>
      </c>
      <c r="G41" s="18">
        <f t="shared" si="5"/>
        <v>5</v>
      </c>
      <c r="H41">
        <f t="shared" si="6"/>
        <v>61</v>
      </c>
      <c r="I41">
        <f t="shared" si="6"/>
        <v>77</v>
      </c>
      <c r="J41">
        <f t="shared" si="6"/>
        <v>65</v>
      </c>
      <c r="K41">
        <f t="shared" si="2"/>
        <v>0</v>
      </c>
    </row>
    <row r="42" spans="1:11" x14ac:dyDescent="0.25">
      <c r="A42" s="13">
        <v>45971</v>
      </c>
      <c r="B42" s="7">
        <v>3603</v>
      </c>
      <c r="C42" s="8">
        <v>4985</v>
      </c>
      <c r="D42" s="9">
        <v>4082</v>
      </c>
      <c r="E42" s="18">
        <f t="shared" si="3"/>
        <v>3</v>
      </c>
      <c r="F42" s="18">
        <f t="shared" si="4"/>
        <v>5</v>
      </c>
      <c r="G42" s="18">
        <f t="shared" si="5"/>
        <v>2</v>
      </c>
      <c r="H42">
        <f t="shared" si="6"/>
        <v>60</v>
      </c>
      <c r="I42">
        <f t="shared" si="6"/>
        <v>83</v>
      </c>
      <c r="J42">
        <f t="shared" si="6"/>
        <v>68</v>
      </c>
      <c r="K42">
        <f t="shared" si="2"/>
        <v>0</v>
      </c>
    </row>
    <row r="43" spans="1:11" x14ac:dyDescent="0.25">
      <c r="A43" s="13">
        <v>45972</v>
      </c>
      <c r="B43" s="10">
        <v>4500</v>
      </c>
      <c r="C43" s="11">
        <v>4658</v>
      </c>
      <c r="D43" s="12">
        <v>3583</v>
      </c>
      <c r="E43" s="18">
        <f t="shared" si="3"/>
        <v>0</v>
      </c>
      <c r="F43" s="18">
        <f t="shared" si="4"/>
        <v>38</v>
      </c>
      <c r="G43" s="18">
        <f t="shared" si="5"/>
        <v>43</v>
      </c>
      <c r="H43">
        <f t="shared" si="6"/>
        <v>75</v>
      </c>
      <c r="I43">
        <f t="shared" si="6"/>
        <v>77</v>
      </c>
      <c r="J43">
        <f t="shared" si="6"/>
        <v>59</v>
      </c>
      <c r="K43">
        <f t="shared" si="2"/>
        <v>0</v>
      </c>
    </row>
    <row r="44" spans="1:11" x14ac:dyDescent="0.25">
      <c r="A44" s="13">
        <v>45973</v>
      </c>
      <c r="B44" s="7">
        <v>4642</v>
      </c>
      <c r="C44" s="8">
        <v>3721</v>
      </c>
      <c r="D44" s="9">
        <v>4045</v>
      </c>
      <c r="E44" s="18">
        <f t="shared" si="3"/>
        <v>22</v>
      </c>
      <c r="F44" s="18">
        <f t="shared" si="4"/>
        <v>1</v>
      </c>
      <c r="G44" s="18">
        <f t="shared" si="5"/>
        <v>0</v>
      </c>
      <c r="H44">
        <f t="shared" si="6"/>
        <v>77</v>
      </c>
      <c r="I44">
        <f t="shared" si="6"/>
        <v>62</v>
      </c>
      <c r="J44">
        <f t="shared" si="6"/>
        <v>68</v>
      </c>
      <c r="K44">
        <f t="shared" si="2"/>
        <v>0</v>
      </c>
    </row>
    <row r="45" spans="1:11" x14ac:dyDescent="0.25">
      <c r="A45" s="13">
        <v>45974</v>
      </c>
      <c r="B45" s="10">
        <v>4280</v>
      </c>
      <c r="C45" s="11">
        <v>2622</v>
      </c>
      <c r="D45" s="12">
        <v>3630</v>
      </c>
      <c r="E45" s="18">
        <f t="shared" si="3"/>
        <v>20</v>
      </c>
      <c r="F45" s="18">
        <f t="shared" si="4"/>
        <v>42</v>
      </c>
      <c r="G45" s="18">
        <f t="shared" si="5"/>
        <v>30</v>
      </c>
      <c r="H45">
        <f t="shared" si="6"/>
        <v>71</v>
      </c>
      <c r="I45">
        <f t="shared" si="6"/>
        <v>43</v>
      </c>
      <c r="J45">
        <f t="shared" si="6"/>
        <v>60</v>
      </c>
      <c r="K45">
        <f t="shared" si="2"/>
        <v>0</v>
      </c>
    </row>
    <row r="46" spans="1:11" x14ac:dyDescent="0.25">
      <c r="A46" s="13">
        <v>45975</v>
      </c>
      <c r="B46" s="7">
        <v>3307</v>
      </c>
      <c r="C46" s="8">
        <v>4450</v>
      </c>
      <c r="D46" s="9">
        <v>3551</v>
      </c>
      <c r="E46" s="18">
        <f t="shared" si="3"/>
        <v>7</v>
      </c>
      <c r="F46" s="18">
        <f t="shared" si="4"/>
        <v>10</v>
      </c>
      <c r="G46" s="18">
        <f t="shared" si="5"/>
        <v>11</v>
      </c>
      <c r="H46">
        <f t="shared" si="6"/>
        <v>55</v>
      </c>
      <c r="I46">
        <f t="shared" si="6"/>
        <v>74</v>
      </c>
      <c r="J46">
        <f t="shared" si="6"/>
        <v>59</v>
      </c>
      <c r="K46">
        <f t="shared" si="2"/>
        <v>0</v>
      </c>
    </row>
    <row r="47" spans="1:11" x14ac:dyDescent="0.25">
      <c r="A47" s="13">
        <v>45976</v>
      </c>
      <c r="B47" s="10">
        <v>3132</v>
      </c>
      <c r="C47" s="11">
        <v>3118</v>
      </c>
      <c r="D47" s="12">
        <v>4231</v>
      </c>
      <c r="E47" s="18">
        <f t="shared" si="3"/>
        <v>12</v>
      </c>
      <c r="F47" s="18">
        <f t="shared" si="4"/>
        <v>0</v>
      </c>
      <c r="G47" s="18">
        <f t="shared" si="5"/>
        <v>31</v>
      </c>
      <c r="H47">
        <f t="shared" si="6"/>
        <v>52</v>
      </c>
      <c r="I47">
        <f t="shared" si="6"/>
        <v>52</v>
      </c>
      <c r="J47">
        <f t="shared" si="6"/>
        <v>70</v>
      </c>
      <c r="K47">
        <f t="shared" si="2"/>
        <v>0</v>
      </c>
    </row>
    <row r="48" spans="1:11" x14ac:dyDescent="0.25">
      <c r="A48" s="13">
        <v>45977</v>
      </c>
      <c r="B48" s="7">
        <v>3438</v>
      </c>
      <c r="C48" s="8">
        <v>2559</v>
      </c>
      <c r="D48" s="9">
        <v>4323</v>
      </c>
      <c r="E48" s="18">
        <f t="shared" si="3"/>
        <v>18</v>
      </c>
      <c r="F48" s="18">
        <f t="shared" si="4"/>
        <v>39</v>
      </c>
      <c r="G48" s="18">
        <f t="shared" si="5"/>
        <v>3</v>
      </c>
      <c r="H48">
        <f t="shared" si="6"/>
        <v>57</v>
      </c>
      <c r="I48">
        <f t="shared" si="6"/>
        <v>42</v>
      </c>
      <c r="J48">
        <f t="shared" si="6"/>
        <v>72</v>
      </c>
      <c r="K48">
        <f t="shared" si="2"/>
        <v>0</v>
      </c>
    </row>
    <row r="49" spans="1:11" x14ac:dyDescent="0.25">
      <c r="A49" s="13">
        <v>45978</v>
      </c>
      <c r="B49" s="10">
        <v>4209</v>
      </c>
      <c r="C49" s="11">
        <v>4094</v>
      </c>
      <c r="D49" s="12">
        <v>3533</v>
      </c>
      <c r="E49" s="18">
        <f t="shared" si="3"/>
        <v>9</v>
      </c>
      <c r="F49" s="18">
        <f t="shared" si="4"/>
        <v>14</v>
      </c>
      <c r="G49" s="18">
        <f t="shared" si="5"/>
        <v>53</v>
      </c>
      <c r="H49">
        <f t="shared" si="6"/>
        <v>70</v>
      </c>
      <c r="I49">
        <f t="shared" si="6"/>
        <v>68</v>
      </c>
      <c r="J49">
        <f t="shared" si="6"/>
        <v>58</v>
      </c>
      <c r="K49">
        <f t="shared" si="2"/>
        <v>0</v>
      </c>
    </row>
    <row r="50" spans="1:11" x14ac:dyDescent="0.25">
      <c r="A50" s="13">
        <v>45979</v>
      </c>
      <c r="B50" s="7">
        <v>3469</v>
      </c>
      <c r="C50" s="8">
        <v>3582</v>
      </c>
      <c r="D50" s="9">
        <v>3578</v>
      </c>
      <c r="E50" s="18">
        <f t="shared" si="3"/>
        <v>49</v>
      </c>
      <c r="F50" s="18">
        <f t="shared" si="4"/>
        <v>42</v>
      </c>
      <c r="G50" s="18">
        <f t="shared" si="5"/>
        <v>0</v>
      </c>
      <c r="H50">
        <f t="shared" si="6"/>
        <v>57</v>
      </c>
      <c r="I50">
        <f t="shared" si="6"/>
        <v>59</v>
      </c>
      <c r="J50">
        <f t="shared" si="6"/>
        <v>60</v>
      </c>
      <c r="K50">
        <f t="shared" si="2"/>
        <v>0</v>
      </c>
    </row>
    <row r="51" spans="1:11" x14ac:dyDescent="0.25">
      <c r="A51" s="13">
        <v>45980</v>
      </c>
      <c r="B51" s="10">
        <v>3964</v>
      </c>
      <c r="C51" s="11">
        <v>4282</v>
      </c>
      <c r="D51" s="12">
        <v>3642</v>
      </c>
      <c r="E51" s="18">
        <f t="shared" si="3"/>
        <v>4</v>
      </c>
      <c r="F51" s="18">
        <f t="shared" si="4"/>
        <v>0</v>
      </c>
      <c r="G51" s="18">
        <f t="shared" si="5"/>
        <v>42</v>
      </c>
      <c r="H51">
        <f t="shared" si="6"/>
        <v>66</v>
      </c>
      <c r="I51">
        <f t="shared" si="6"/>
        <v>72</v>
      </c>
      <c r="J51">
        <f t="shared" si="6"/>
        <v>60</v>
      </c>
      <c r="K51">
        <f t="shared" si="2"/>
        <v>0</v>
      </c>
    </row>
    <row r="52" spans="1:11" x14ac:dyDescent="0.25">
      <c r="A52" s="13">
        <v>45981</v>
      </c>
      <c r="B52" s="7">
        <v>3464</v>
      </c>
      <c r="C52" s="8">
        <v>3816</v>
      </c>
      <c r="D52" s="9">
        <v>4038</v>
      </c>
      <c r="E52" s="18">
        <f t="shared" si="3"/>
        <v>44</v>
      </c>
      <c r="F52" s="18">
        <f t="shared" si="4"/>
        <v>36</v>
      </c>
      <c r="G52" s="18">
        <f t="shared" si="5"/>
        <v>0</v>
      </c>
      <c r="H52">
        <f t="shared" si="6"/>
        <v>57</v>
      </c>
      <c r="I52">
        <f t="shared" si="6"/>
        <v>63</v>
      </c>
      <c r="J52">
        <f t="shared" si="6"/>
        <v>68</v>
      </c>
      <c r="K52">
        <f t="shared" si="2"/>
        <v>0</v>
      </c>
    </row>
    <row r="53" spans="1:11" x14ac:dyDescent="0.25">
      <c r="A53" s="13">
        <v>45982</v>
      </c>
      <c r="B53" s="10">
        <v>4762</v>
      </c>
      <c r="C53" s="11">
        <v>3842</v>
      </c>
      <c r="D53" s="12">
        <v>4097</v>
      </c>
      <c r="E53" s="18">
        <f t="shared" si="3"/>
        <v>0</v>
      </c>
      <c r="F53" s="18">
        <f t="shared" si="4"/>
        <v>2</v>
      </c>
      <c r="G53" s="18">
        <f t="shared" si="5"/>
        <v>17</v>
      </c>
      <c r="H53">
        <f t="shared" si="6"/>
        <v>80</v>
      </c>
      <c r="I53">
        <f t="shared" si="6"/>
        <v>64</v>
      </c>
      <c r="J53">
        <f t="shared" si="6"/>
        <v>68</v>
      </c>
      <c r="K53">
        <f t="shared" si="2"/>
        <v>0</v>
      </c>
    </row>
    <row r="54" spans="1:11" x14ac:dyDescent="0.25">
      <c r="A54" s="13">
        <v>45983</v>
      </c>
      <c r="B54" s="7">
        <v>3239</v>
      </c>
      <c r="C54" s="8">
        <v>3124</v>
      </c>
      <c r="D54" s="9">
        <v>4114</v>
      </c>
      <c r="E54" s="18">
        <f t="shared" si="3"/>
        <v>59</v>
      </c>
      <c r="F54" s="18">
        <f t="shared" si="4"/>
        <v>4</v>
      </c>
      <c r="G54" s="18">
        <f t="shared" si="5"/>
        <v>34</v>
      </c>
      <c r="H54">
        <f t="shared" si="6"/>
        <v>53</v>
      </c>
      <c r="I54">
        <f t="shared" si="6"/>
        <v>52</v>
      </c>
      <c r="J54">
        <f t="shared" si="6"/>
        <v>68</v>
      </c>
      <c r="K54">
        <f t="shared" si="2"/>
        <v>0</v>
      </c>
    </row>
    <row r="55" spans="1:11" x14ac:dyDescent="0.25">
      <c r="A55" s="13">
        <v>45984</v>
      </c>
      <c r="B55" s="10">
        <v>4722</v>
      </c>
      <c r="C55" s="11">
        <v>4675</v>
      </c>
      <c r="D55" s="12">
        <v>4499</v>
      </c>
      <c r="E55" s="18">
        <f t="shared" si="3"/>
        <v>0</v>
      </c>
      <c r="F55" s="18">
        <f t="shared" si="4"/>
        <v>55</v>
      </c>
      <c r="G55" s="18">
        <f t="shared" si="5"/>
        <v>0</v>
      </c>
      <c r="H55">
        <f t="shared" si="6"/>
        <v>79</v>
      </c>
      <c r="I55">
        <f t="shared" si="6"/>
        <v>77</v>
      </c>
      <c r="J55">
        <f t="shared" si="6"/>
        <v>75</v>
      </c>
      <c r="K55">
        <f t="shared" si="2"/>
        <v>0</v>
      </c>
    </row>
    <row r="56" spans="1:11" x14ac:dyDescent="0.25">
      <c r="A56" s="13">
        <v>45985</v>
      </c>
      <c r="B56" s="7">
        <v>4398</v>
      </c>
      <c r="C56" s="8">
        <v>3072</v>
      </c>
      <c r="D56" s="9">
        <v>4282</v>
      </c>
      <c r="E56" s="18">
        <f t="shared" si="3"/>
        <v>18</v>
      </c>
      <c r="F56" s="18">
        <f t="shared" si="4"/>
        <v>0</v>
      </c>
      <c r="G56" s="18">
        <f t="shared" si="5"/>
        <v>22</v>
      </c>
      <c r="H56">
        <f t="shared" si="6"/>
        <v>73</v>
      </c>
      <c r="I56">
        <f t="shared" si="6"/>
        <v>52</v>
      </c>
      <c r="J56">
        <f t="shared" si="6"/>
        <v>71</v>
      </c>
      <c r="K56">
        <f t="shared" si="2"/>
        <v>0</v>
      </c>
    </row>
    <row r="57" spans="1:11" x14ac:dyDescent="0.25">
      <c r="A57" s="13">
        <v>45986</v>
      </c>
      <c r="B57" s="10">
        <v>3950</v>
      </c>
      <c r="C57" s="11">
        <v>3684</v>
      </c>
      <c r="D57" s="12">
        <v>3825</v>
      </c>
      <c r="E57" s="18">
        <f t="shared" si="3"/>
        <v>0</v>
      </c>
      <c r="F57" s="18">
        <f t="shared" si="4"/>
        <v>24</v>
      </c>
      <c r="G57" s="18">
        <f t="shared" si="5"/>
        <v>0</v>
      </c>
      <c r="H57">
        <f t="shared" si="6"/>
        <v>66</v>
      </c>
      <c r="I57">
        <f t="shared" si="6"/>
        <v>61</v>
      </c>
      <c r="J57">
        <f t="shared" si="6"/>
        <v>64</v>
      </c>
      <c r="K57">
        <f t="shared" si="2"/>
        <v>0</v>
      </c>
    </row>
    <row r="58" spans="1:11" x14ac:dyDescent="0.25">
      <c r="A58" s="13">
        <v>45987</v>
      </c>
      <c r="B58" s="7">
        <v>3089</v>
      </c>
      <c r="C58" s="8">
        <v>3898</v>
      </c>
      <c r="D58" s="9">
        <v>3737</v>
      </c>
      <c r="E58" s="18">
        <f t="shared" si="3"/>
        <v>29</v>
      </c>
      <c r="F58" s="18">
        <f t="shared" si="4"/>
        <v>0</v>
      </c>
      <c r="G58" s="18">
        <f t="shared" si="5"/>
        <v>17</v>
      </c>
      <c r="H58">
        <f t="shared" si="6"/>
        <v>51</v>
      </c>
      <c r="I58">
        <f t="shared" si="6"/>
        <v>65</v>
      </c>
      <c r="J58">
        <f t="shared" si="6"/>
        <v>62</v>
      </c>
      <c r="K58">
        <f t="shared" si="2"/>
        <v>0</v>
      </c>
    </row>
    <row r="59" spans="1:11" x14ac:dyDescent="0.25">
      <c r="A59" s="13">
        <v>45988</v>
      </c>
      <c r="B59" s="10">
        <v>4408</v>
      </c>
      <c r="C59" s="11">
        <v>2923</v>
      </c>
      <c r="D59" s="12">
        <v>4377</v>
      </c>
      <c r="E59" s="18">
        <f t="shared" si="3"/>
        <v>28</v>
      </c>
      <c r="F59" s="18">
        <f t="shared" si="4"/>
        <v>43</v>
      </c>
      <c r="G59" s="18">
        <f t="shared" si="5"/>
        <v>0</v>
      </c>
      <c r="H59">
        <f t="shared" si="6"/>
        <v>73</v>
      </c>
      <c r="I59">
        <f t="shared" si="6"/>
        <v>48</v>
      </c>
      <c r="J59">
        <f t="shared" si="6"/>
        <v>73</v>
      </c>
      <c r="K59">
        <f t="shared" si="2"/>
        <v>0</v>
      </c>
    </row>
    <row r="60" spans="1:11" x14ac:dyDescent="0.25">
      <c r="A60" s="13">
        <v>45989</v>
      </c>
      <c r="B60" s="7">
        <v>3732</v>
      </c>
      <c r="C60" s="8">
        <v>2542</v>
      </c>
      <c r="D60" s="9">
        <v>4322</v>
      </c>
      <c r="E60" s="18">
        <f t="shared" si="3"/>
        <v>12</v>
      </c>
      <c r="F60" s="18">
        <f t="shared" si="4"/>
        <v>0</v>
      </c>
      <c r="G60" s="18">
        <f t="shared" si="5"/>
        <v>2</v>
      </c>
      <c r="H60">
        <f t="shared" si="6"/>
        <v>62</v>
      </c>
      <c r="I60">
        <f t="shared" si="6"/>
        <v>43</v>
      </c>
      <c r="J60">
        <f t="shared" si="6"/>
        <v>72</v>
      </c>
      <c r="K60">
        <f t="shared" si="2"/>
        <v>0</v>
      </c>
    </row>
    <row r="61" spans="1:11" x14ac:dyDescent="0.25">
      <c r="A61" s="13">
        <v>45990</v>
      </c>
      <c r="B61" s="10">
        <v>4706</v>
      </c>
      <c r="C61" s="11">
        <v>3760</v>
      </c>
      <c r="D61" s="12">
        <v>4447</v>
      </c>
      <c r="E61" s="18">
        <f t="shared" si="3"/>
        <v>26</v>
      </c>
      <c r="F61" s="18">
        <f t="shared" si="4"/>
        <v>40</v>
      </c>
      <c r="G61" s="18">
        <f t="shared" si="5"/>
        <v>7</v>
      </c>
      <c r="H61">
        <f t="shared" si="6"/>
        <v>78</v>
      </c>
      <c r="I61">
        <f t="shared" si="6"/>
        <v>62</v>
      </c>
      <c r="J61">
        <f t="shared" si="6"/>
        <v>74</v>
      </c>
      <c r="K61">
        <f t="shared" si="2"/>
        <v>0</v>
      </c>
    </row>
    <row r="62" spans="1:11" x14ac:dyDescent="0.25">
      <c r="A62" s="13">
        <v>45991</v>
      </c>
      <c r="B62" s="7">
        <v>3905</v>
      </c>
      <c r="C62" s="8">
        <v>4048</v>
      </c>
      <c r="D62" s="9">
        <v>3656</v>
      </c>
      <c r="E62" s="18">
        <f t="shared" si="3"/>
        <v>5</v>
      </c>
      <c r="F62" s="18">
        <f t="shared" si="4"/>
        <v>0</v>
      </c>
      <c r="G62" s="18">
        <f t="shared" si="5"/>
        <v>0</v>
      </c>
      <c r="H62">
        <f t="shared" si="6"/>
        <v>65</v>
      </c>
      <c r="I62">
        <f t="shared" si="6"/>
        <v>68</v>
      </c>
      <c r="J62">
        <f t="shared" si="6"/>
        <v>61</v>
      </c>
      <c r="K62">
        <f t="shared" si="2"/>
        <v>0</v>
      </c>
    </row>
    <row r="63" spans="1:11" x14ac:dyDescent="0.25">
      <c r="A63" s="13">
        <v>45992</v>
      </c>
      <c r="B63" s="10">
        <v>4369</v>
      </c>
      <c r="C63" s="11">
        <v>4468</v>
      </c>
      <c r="D63" s="12">
        <v>3578</v>
      </c>
      <c r="E63" s="18">
        <f t="shared" si="3"/>
        <v>49</v>
      </c>
      <c r="F63" s="18">
        <f t="shared" si="4"/>
        <v>28</v>
      </c>
      <c r="G63" s="18">
        <f t="shared" si="5"/>
        <v>38</v>
      </c>
      <c r="H63">
        <f t="shared" si="6"/>
        <v>72</v>
      </c>
      <c r="I63">
        <f t="shared" si="6"/>
        <v>74</v>
      </c>
      <c r="J63">
        <f t="shared" si="6"/>
        <v>59</v>
      </c>
      <c r="K63">
        <f t="shared" si="2"/>
        <v>0</v>
      </c>
    </row>
    <row r="64" spans="1:11" x14ac:dyDescent="0.25">
      <c r="A64" s="13">
        <v>45993</v>
      </c>
      <c r="B64" s="7">
        <v>4186</v>
      </c>
      <c r="C64" s="8">
        <v>3808</v>
      </c>
      <c r="D64" s="9">
        <v>4065</v>
      </c>
      <c r="E64" s="18">
        <f t="shared" si="3"/>
        <v>0</v>
      </c>
      <c r="F64" s="18">
        <f t="shared" si="4"/>
        <v>28</v>
      </c>
      <c r="G64" s="18">
        <f t="shared" si="5"/>
        <v>0</v>
      </c>
      <c r="H64">
        <f t="shared" si="6"/>
        <v>70</v>
      </c>
      <c r="I64">
        <f t="shared" si="6"/>
        <v>63</v>
      </c>
      <c r="J64">
        <f t="shared" si="6"/>
        <v>68</v>
      </c>
      <c r="K64">
        <f t="shared" si="2"/>
        <v>0</v>
      </c>
    </row>
    <row r="65" spans="1:11" x14ac:dyDescent="0.25">
      <c r="A65" s="13">
        <v>45994</v>
      </c>
      <c r="B65" s="10">
        <v>3780</v>
      </c>
      <c r="C65" s="11">
        <v>3894</v>
      </c>
      <c r="D65" s="12">
        <v>4341</v>
      </c>
      <c r="E65" s="18">
        <f t="shared" si="3"/>
        <v>0</v>
      </c>
      <c r="F65" s="18">
        <f t="shared" si="4"/>
        <v>0</v>
      </c>
      <c r="G65" s="18">
        <f t="shared" si="5"/>
        <v>21</v>
      </c>
      <c r="H65">
        <f t="shared" si="6"/>
        <v>63</v>
      </c>
      <c r="I65">
        <f t="shared" si="6"/>
        <v>65</v>
      </c>
      <c r="J65">
        <f t="shared" si="6"/>
        <v>72</v>
      </c>
      <c r="K65">
        <f t="shared" si="2"/>
        <v>0</v>
      </c>
    </row>
    <row r="66" spans="1:11" x14ac:dyDescent="0.25">
      <c r="A66" s="13">
        <v>45995</v>
      </c>
      <c r="B66" s="7">
        <v>3859</v>
      </c>
      <c r="C66" s="8">
        <v>3335</v>
      </c>
      <c r="D66" s="9">
        <v>4343</v>
      </c>
      <c r="E66" s="18">
        <f t="shared" si="3"/>
        <v>19</v>
      </c>
      <c r="F66" s="18">
        <f t="shared" si="4"/>
        <v>35</v>
      </c>
      <c r="G66" s="18">
        <f t="shared" si="5"/>
        <v>23</v>
      </c>
      <c r="H66">
        <f t="shared" si="6"/>
        <v>64</v>
      </c>
      <c r="I66">
        <f t="shared" si="6"/>
        <v>55</v>
      </c>
      <c r="J66">
        <f t="shared" si="6"/>
        <v>72</v>
      </c>
      <c r="K66">
        <f t="shared" si="2"/>
        <v>0</v>
      </c>
    </row>
    <row r="67" spans="1:11" x14ac:dyDescent="0.25">
      <c r="A67" s="13">
        <v>45996</v>
      </c>
      <c r="B67" s="10">
        <v>4842</v>
      </c>
      <c r="C67" s="11">
        <v>4325</v>
      </c>
      <c r="D67" s="12">
        <v>4284</v>
      </c>
      <c r="E67" s="18">
        <f t="shared" si="3"/>
        <v>0</v>
      </c>
      <c r="F67" s="18">
        <f t="shared" si="4"/>
        <v>5</v>
      </c>
      <c r="G67" s="18">
        <f t="shared" si="5"/>
        <v>24</v>
      </c>
      <c r="H67">
        <f t="shared" si="6"/>
        <v>81</v>
      </c>
      <c r="I67">
        <f t="shared" si="6"/>
        <v>72</v>
      </c>
      <c r="J67">
        <f t="shared" si="6"/>
        <v>71</v>
      </c>
      <c r="K67">
        <f t="shared" ref="K67:K130" si="7">IF(AND(E67=0,F67=0,G67=0),1,0)</f>
        <v>0</v>
      </c>
    </row>
    <row r="68" spans="1:11" x14ac:dyDescent="0.25">
      <c r="A68" s="13">
        <v>45997</v>
      </c>
      <c r="B68" s="7">
        <v>4461</v>
      </c>
      <c r="C68" s="8">
        <v>3535</v>
      </c>
      <c r="D68" s="9">
        <v>4224</v>
      </c>
      <c r="E68" s="18">
        <f t="shared" ref="E68:E131" si="8">IF(B68-60*H68&gt;0,B68-60*H68,0)</f>
        <v>21</v>
      </c>
      <c r="F68" s="18">
        <f t="shared" ref="F68:F131" si="9">IF(C68-60*I68&gt;0,C68-60*I68,0)</f>
        <v>0</v>
      </c>
      <c r="G68" s="18">
        <f t="shared" ref="G68:G131" si="10">IF(D68-60*J68&gt;0,D68-60*J68,0)</f>
        <v>24</v>
      </c>
      <c r="H68">
        <f t="shared" ref="H68:J131" si="11">ROUNDDOWN((B68+E67)/60,0)</f>
        <v>74</v>
      </c>
      <c r="I68">
        <f t="shared" si="11"/>
        <v>59</v>
      </c>
      <c r="J68">
        <f t="shared" si="11"/>
        <v>70</v>
      </c>
      <c r="K68">
        <f t="shared" si="7"/>
        <v>0</v>
      </c>
    </row>
    <row r="69" spans="1:11" x14ac:dyDescent="0.25">
      <c r="A69" s="13">
        <v>45998</v>
      </c>
      <c r="B69" s="10">
        <v>3676</v>
      </c>
      <c r="C69" s="11">
        <v>3549</v>
      </c>
      <c r="D69" s="12">
        <v>4469</v>
      </c>
      <c r="E69" s="18">
        <f t="shared" si="8"/>
        <v>16</v>
      </c>
      <c r="F69" s="18">
        <f t="shared" si="9"/>
        <v>9</v>
      </c>
      <c r="G69" s="18">
        <f t="shared" si="10"/>
        <v>29</v>
      </c>
      <c r="H69">
        <f t="shared" si="11"/>
        <v>61</v>
      </c>
      <c r="I69">
        <f t="shared" si="11"/>
        <v>59</v>
      </c>
      <c r="J69">
        <f t="shared" si="11"/>
        <v>74</v>
      </c>
      <c r="K69">
        <f t="shared" si="7"/>
        <v>0</v>
      </c>
    </row>
    <row r="70" spans="1:11" x14ac:dyDescent="0.25">
      <c r="A70" s="13">
        <v>45999</v>
      </c>
      <c r="B70" s="7">
        <v>4173</v>
      </c>
      <c r="C70" s="8">
        <v>3281</v>
      </c>
      <c r="D70" s="9">
        <v>4365</v>
      </c>
      <c r="E70" s="18">
        <f t="shared" si="8"/>
        <v>33</v>
      </c>
      <c r="F70" s="18">
        <f t="shared" si="9"/>
        <v>41</v>
      </c>
      <c r="G70" s="18">
        <f t="shared" si="10"/>
        <v>0</v>
      </c>
      <c r="H70">
        <f t="shared" si="11"/>
        <v>69</v>
      </c>
      <c r="I70">
        <f t="shared" si="11"/>
        <v>54</v>
      </c>
      <c r="J70">
        <f t="shared" si="11"/>
        <v>73</v>
      </c>
      <c r="K70">
        <f t="shared" si="7"/>
        <v>0</v>
      </c>
    </row>
    <row r="71" spans="1:11" x14ac:dyDescent="0.25">
      <c r="A71" s="13">
        <v>46000</v>
      </c>
      <c r="B71" s="10">
        <v>3982</v>
      </c>
      <c r="C71" s="11">
        <v>3500</v>
      </c>
      <c r="D71" s="12">
        <v>4379</v>
      </c>
      <c r="E71" s="18">
        <f t="shared" si="8"/>
        <v>22</v>
      </c>
      <c r="F71" s="18">
        <f t="shared" si="9"/>
        <v>0</v>
      </c>
      <c r="G71" s="18">
        <f t="shared" si="10"/>
        <v>59</v>
      </c>
      <c r="H71">
        <f t="shared" si="11"/>
        <v>66</v>
      </c>
      <c r="I71">
        <f t="shared" si="11"/>
        <v>59</v>
      </c>
      <c r="J71">
        <f t="shared" si="11"/>
        <v>72</v>
      </c>
      <c r="K71">
        <f t="shared" si="7"/>
        <v>0</v>
      </c>
    </row>
    <row r="72" spans="1:11" x14ac:dyDescent="0.25">
      <c r="A72" s="13">
        <v>46001</v>
      </c>
      <c r="B72" s="7">
        <v>4507</v>
      </c>
      <c r="C72" s="8">
        <v>4263</v>
      </c>
      <c r="D72" s="9">
        <v>4439</v>
      </c>
      <c r="E72" s="18">
        <f t="shared" si="8"/>
        <v>7</v>
      </c>
      <c r="F72" s="18">
        <f t="shared" si="9"/>
        <v>3</v>
      </c>
      <c r="G72" s="18">
        <f t="shared" si="10"/>
        <v>0</v>
      </c>
      <c r="H72">
        <f t="shared" si="11"/>
        <v>75</v>
      </c>
      <c r="I72">
        <f t="shared" si="11"/>
        <v>71</v>
      </c>
      <c r="J72">
        <f t="shared" si="11"/>
        <v>74</v>
      </c>
      <c r="K72">
        <f t="shared" si="7"/>
        <v>0</v>
      </c>
    </row>
    <row r="73" spans="1:11" x14ac:dyDescent="0.25">
      <c r="A73" s="13">
        <v>46002</v>
      </c>
      <c r="B73" s="10">
        <v>3574</v>
      </c>
      <c r="C73" s="11">
        <v>2503</v>
      </c>
      <c r="D73" s="12">
        <v>3886</v>
      </c>
      <c r="E73" s="18">
        <f t="shared" si="8"/>
        <v>34</v>
      </c>
      <c r="F73" s="18">
        <f t="shared" si="9"/>
        <v>43</v>
      </c>
      <c r="G73" s="18">
        <f t="shared" si="10"/>
        <v>46</v>
      </c>
      <c r="H73">
        <f t="shared" si="11"/>
        <v>59</v>
      </c>
      <c r="I73">
        <f t="shared" si="11"/>
        <v>41</v>
      </c>
      <c r="J73">
        <f t="shared" si="11"/>
        <v>64</v>
      </c>
      <c r="K73">
        <f t="shared" si="7"/>
        <v>0</v>
      </c>
    </row>
    <row r="74" spans="1:11" x14ac:dyDescent="0.25">
      <c r="A74" s="13">
        <v>46003</v>
      </c>
      <c r="B74" s="7">
        <v>3514</v>
      </c>
      <c r="C74" s="8">
        <v>3589</v>
      </c>
      <c r="D74" s="9">
        <v>4163</v>
      </c>
      <c r="E74" s="18">
        <f t="shared" si="8"/>
        <v>0</v>
      </c>
      <c r="F74" s="18">
        <f t="shared" si="9"/>
        <v>0</v>
      </c>
      <c r="G74" s="18">
        <f t="shared" si="10"/>
        <v>0</v>
      </c>
      <c r="H74">
        <f t="shared" si="11"/>
        <v>59</v>
      </c>
      <c r="I74">
        <f t="shared" si="11"/>
        <v>60</v>
      </c>
      <c r="J74">
        <f t="shared" si="11"/>
        <v>70</v>
      </c>
      <c r="K74">
        <f t="shared" si="7"/>
        <v>1</v>
      </c>
    </row>
    <row r="75" spans="1:11" x14ac:dyDescent="0.25">
      <c r="A75" s="13">
        <v>46004</v>
      </c>
      <c r="B75" s="10">
        <v>3825</v>
      </c>
      <c r="C75" s="11">
        <v>3615</v>
      </c>
      <c r="D75" s="12">
        <v>4275</v>
      </c>
      <c r="E75" s="18">
        <f t="shared" si="8"/>
        <v>45</v>
      </c>
      <c r="F75" s="18">
        <f t="shared" si="9"/>
        <v>15</v>
      </c>
      <c r="G75" s="18">
        <f t="shared" si="10"/>
        <v>15</v>
      </c>
      <c r="H75">
        <f t="shared" si="11"/>
        <v>63</v>
      </c>
      <c r="I75">
        <f t="shared" si="11"/>
        <v>60</v>
      </c>
      <c r="J75">
        <f t="shared" si="11"/>
        <v>71</v>
      </c>
      <c r="K75">
        <f t="shared" si="7"/>
        <v>0</v>
      </c>
    </row>
    <row r="76" spans="1:11" x14ac:dyDescent="0.25">
      <c r="A76" s="13">
        <v>46005</v>
      </c>
      <c r="B76" s="7">
        <v>3839</v>
      </c>
      <c r="C76" s="8">
        <v>3962</v>
      </c>
      <c r="D76" s="9">
        <v>4207</v>
      </c>
      <c r="E76" s="18">
        <f t="shared" si="8"/>
        <v>0</v>
      </c>
      <c r="F76" s="18">
        <f t="shared" si="9"/>
        <v>2</v>
      </c>
      <c r="G76" s="18">
        <f t="shared" si="10"/>
        <v>7</v>
      </c>
      <c r="H76">
        <f t="shared" si="11"/>
        <v>64</v>
      </c>
      <c r="I76">
        <f t="shared" si="11"/>
        <v>66</v>
      </c>
      <c r="J76">
        <f t="shared" si="11"/>
        <v>70</v>
      </c>
      <c r="K76">
        <f t="shared" si="7"/>
        <v>0</v>
      </c>
    </row>
    <row r="77" spans="1:11" x14ac:dyDescent="0.25">
      <c r="A77" s="13">
        <v>46006</v>
      </c>
      <c r="B77" s="10">
        <v>4686</v>
      </c>
      <c r="C77" s="11">
        <v>2918</v>
      </c>
      <c r="D77" s="12">
        <v>3885</v>
      </c>
      <c r="E77" s="18">
        <f t="shared" si="8"/>
        <v>6</v>
      </c>
      <c r="F77" s="18">
        <f t="shared" si="9"/>
        <v>38</v>
      </c>
      <c r="G77" s="18">
        <f t="shared" si="10"/>
        <v>45</v>
      </c>
      <c r="H77">
        <f t="shared" si="11"/>
        <v>78</v>
      </c>
      <c r="I77">
        <f t="shared" si="11"/>
        <v>48</v>
      </c>
      <c r="J77">
        <f t="shared" si="11"/>
        <v>64</v>
      </c>
      <c r="K77">
        <f t="shared" si="7"/>
        <v>0</v>
      </c>
    </row>
    <row r="78" spans="1:11" x14ac:dyDescent="0.25">
      <c r="A78" s="13">
        <v>46007</v>
      </c>
      <c r="B78" s="7">
        <v>3155</v>
      </c>
      <c r="C78" s="8">
        <v>4732</v>
      </c>
      <c r="D78" s="9">
        <v>4066</v>
      </c>
      <c r="E78" s="18">
        <f t="shared" si="8"/>
        <v>35</v>
      </c>
      <c r="F78" s="18">
        <f t="shared" si="9"/>
        <v>0</v>
      </c>
      <c r="G78" s="18">
        <f t="shared" si="10"/>
        <v>0</v>
      </c>
      <c r="H78">
        <f t="shared" si="11"/>
        <v>52</v>
      </c>
      <c r="I78">
        <f t="shared" si="11"/>
        <v>79</v>
      </c>
      <c r="J78">
        <f t="shared" si="11"/>
        <v>68</v>
      </c>
      <c r="K78">
        <f t="shared" si="7"/>
        <v>0</v>
      </c>
    </row>
    <row r="79" spans="1:11" x14ac:dyDescent="0.25">
      <c r="A79" s="13">
        <v>46008</v>
      </c>
      <c r="B79" s="10">
        <v>3375</v>
      </c>
      <c r="C79" s="11">
        <v>3272</v>
      </c>
      <c r="D79" s="12">
        <v>4355</v>
      </c>
      <c r="E79" s="18">
        <f t="shared" si="8"/>
        <v>15</v>
      </c>
      <c r="F79" s="18">
        <f t="shared" si="9"/>
        <v>32</v>
      </c>
      <c r="G79" s="18">
        <f t="shared" si="10"/>
        <v>35</v>
      </c>
      <c r="H79">
        <f t="shared" si="11"/>
        <v>56</v>
      </c>
      <c r="I79">
        <f t="shared" si="11"/>
        <v>54</v>
      </c>
      <c r="J79">
        <f t="shared" si="11"/>
        <v>72</v>
      </c>
      <c r="K79">
        <f t="shared" si="7"/>
        <v>0</v>
      </c>
    </row>
    <row r="80" spans="1:11" x14ac:dyDescent="0.25">
      <c r="A80" s="13">
        <v>46009</v>
      </c>
      <c r="B80" s="7">
        <v>4396</v>
      </c>
      <c r="C80" s="8">
        <v>2882</v>
      </c>
      <c r="D80" s="9">
        <v>3646</v>
      </c>
      <c r="E80" s="18">
        <f t="shared" si="8"/>
        <v>16</v>
      </c>
      <c r="F80" s="18">
        <f t="shared" si="9"/>
        <v>2</v>
      </c>
      <c r="G80" s="18">
        <f t="shared" si="10"/>
        <v>0</v>
      </c>
      <c r="H80">
        <f t="shared" si="11"/>
        <v>73</v>
      </c>
      <c r="I80">
        <f t="shared" si="11"/>
        <v>48</v>
      </c>
      <c r="J80">
        <f t="shared" si="11"/>
        <v>61</v>
      </c>
      <c r="K80">
        <f t="shared" si="7"/>
        <v>0</v>
      </c>
    </row>
    <row r="81" spans="1:11" x14ac:dyDescent="0.25">
      <c r="A81" s="13">
        <v>46010</v>
      </c>
      <c r="B81" s="10">
        <v>4371</v>
      </c>
      <c r="C81" s="11">
        <v>3799</v>
      </c>
      <c r="D81" s="12">
        <v>3529</v>
      </c>
      <c r="E81" s="18">
        <f t="shared" si="8"/>
        <v>0</v>
      </c>
      <c r="F81" s="18">
        <f t="shared" si="9"/>
        <v>19</v>
      </c>
      <c r="G81" s="18">
        <f t="shared" si="10"/>
        <v>49</v>
      </c>
      <c r="H81">
        <f t="shared" si="11"/>
        <v>73</v>
      </c>
      <c r="I81">
        <f t="shared" si="11"/>
        <v>63</v>
      </c>
      <c r="J81">
        <f t="shared" si="11"/>
        <v>58</v>
      </c>
      <c r="K81">
        <f t="shared" si="7"/>
        <v>0</v>
      </c>
    </row>
    <row r="82" spans="1:11" x14ac:dyDescent="0.25">
      <c r="A82" s="13">
        <v>46011</v>
      </c>
      <c r="B82" s="7">
        <v>3493</v>
      </c>
      <c r="C82" s="8">
        <v>4308</v>
      </c>
      <c r="D82" s="9">
        <v>3677</v>
      </c>
      <c r="E82" s="18">
        <f t="shared" si="8"/>
        <v>13</v>
      </c>
      <c r="F82" s="18">
        <f t="shared" si="9"/>
        <v>0</v>
      </c>
      <c r="G82" s="18">
        <f t="shared" si="10"/>
        <v>0</v>
      </c>
      <c r="H82">
        <f t="shared" si="11"/>
        <v>58</v>
      </c>
      <c r="I82">
        <f t="shared" si="11"/>
        <v>72</v>
      </c>
      <c r="J82">
        <f t="shared" si="11"/>
        <v>62</v>
      </c>
      <c r="K82">
        <f t="shared" si="7"/>
        <v>0</v>
      </c>
    </row>
    <row r="83" spans="1:11" x14ac:dyDescent="0.25">
      <c r="A83" s="13">
        <v>46012</v>
      </c>
      <c r="B83" s="10">
        <v>3809</v>
      </c>
      <c r="C83" s="11">
        <v>4305</v>
      </c>
      <c r="D83" s="12">
        <v>3855</v>
      </c>
      <c r="E83" s="18">
        <f t="shared" si="8"/>
        <v>29</v>
      </c>
      <c r="F83" s="18">
        <f t="shared" si="9"/>
        <v>45</v>
      </c>
      <c r="G83" s="18">
        <f t="shared" si="10"/>
        <v>15</v>
      </c>
      <c r="H83">
        <f t="shared" si="11"/>
        <v>63</v>
      </c>
      <c r="I83">
        <f t="shared" si="11"/>
        <v>71</v>
      </c>
      <c r="J83">
        <f t="shared" si="11"/>
        <v>64</v>
      </c>
      <c r="K83">
        <f t="shared" si="7"/>
        <v>0</v>
      </c>
    </row>
    <row r="84" spans="1:11" x14ac:dyDescent="0.25">
      <c r="A84" s="13">
        <v>46013</v>
      </c>
      <c r="B84" s="7">
        <v>3783</v>
      </c>
      <c r="C84" s="8">
        <v>3070</v>
      </c>
      <c r="D84" s="9">
        <v>3906</v>
      </c>
      <c r="E84" s="18">
        <f t="shared" si="8"/>
        <v>3</v>
      </c>
      <c r="F84" s="18">
        <f t="shared" si="9"/>
        <v>10</v>
      </c>
      <c r="G84" s="18">
        <f t="shared" si="10"/>
        <v>6</v>
      </c>
      <c r="H84">
        <f t="shared" si="11"/>
        <v>63</v>
      </c>
      <c r="I84">
        <f t="shared" si="11"/>
        <v>51</v>
      </c>
      <c r="J84">
        <f t="shared" si="11"/>
        <v>65</v>
      </c>
      <c r="K84">
        <f t="shared" si="7"/>
        <v>0</v>
      </c>
    </row>
    <row r="85" spans="1:11" x14ac:dyDescent="0.25">
      <c r="A85" s="13">
        <v>46014</v>
      </c>
      <c r="B85" s="10">
        <v>3651</v>
      </c>
      <c r="C85" s="11">
        <v>3648</v>
      </c>
      <c r="D85" s="12">
        <v>4369</v>
      </c>
      <c r="E85" s="18">
        <f t="shared" si="8"/>
        <v>51</v>
      </c>
      <c r="F85" s="18">
        <f t="shared" si="9"/>
        <v>48</v>
      </c>
      <c r="G85" s="18">
        <f t="shared" si="10"/>
        <v>49</v>
      </c>
      <c r="H85">
        <f t="shared" si="11"/>
        <v>60</v>
      </c>
      <c r="I85">
        <f t="shared" si="11"/>
        <v>60</v>
      </c>
      <c r="J85">
        <f t="shared" si="11"/>
        <v>72</v>
      </c>
      <c r="K85">
        <f t="shared" si="7"/>
        <v>0</v>
      </c>
    </row>
    <row r="86" spans="1:11" x14ac:dyDescent="0.25">
      <c r="A86" s="13">
        <v>46015</v>
      </c>
      <c r="B86" s="7">
        <v>4785</v>
      </c>
      <c r="C86" s="8">
        <v>3608</v>
      </c>
      <c r="D86" s="9">
        <v>3660</v>
      </c>
      <c r="E86" s="18">
        <f t="shared" si="8"/>
        <v>0</v>
      </c>
      <c r="F86" s="18">
        <f t="shared" si="9"/>
        <v>8</v>
      </c>
      <c r="G86" s="18">
        <f t="shared" si="10"/>
        <v>0</v>
      </c>
      <c r="H86">
        <f t="shared" si="11"/>
        <v>80</v>
      </c>
      <c r="I86">
        <f t="shared" si="11"/>
        <v>60</v>
      </c>
      <c r="J86">
        <f t="shared" si="11"/>
        <v>61</v>
      </c>
      <c r="K86">
        <f t="shared" si="7"/>
        <v>0</v>
      </c>
    </row>
    <row r="87" spans="1:11" x14ac:dyDescent="0.25">
      <c r="A87" s="13">
        <v>46016</v>
      </c>
      <c r="B87" s="10">
        <v>4756</v>
      </c>
      <c r="C87" s="11">
        <v>2907</v>
      </c>
      <c r="D87" s="12">
        <v>3579</v>
      </c>
      <c r="E87" s="18">
        <f t="shared" si="8"/>
        <v>16</v>
      </c>
      <c r="F87" s="18">
        <f t="shared" si="9"/>
        <v>27</v>
      </c>
      <c r="G87" s="18">
        <f t="shared" si="10"/>
        <v>39</v>
      </c>
      <c r="H87">
        <f t="shared" si="11"/>
        <v>79</v>
      </c>
      <c r="I87">
        <f t="shared" si="11"/>
        <v>48</v>
      </c>
      <c r="J87">
        <f t="shared" si="11"/>
        <v>59</v>
      </c>
      <c r="K87">
        <f t="shared" si="7"/>
        <v>0</v>
      </c>
    </row>
    <row r="88" spans="1:11" x14ac:dyDescent="0.25">
      <c r="A88" s="13">
        <v>46017</v>
      </c>
      <c r="B88" s="7">
        <v>3615</v>
      </c>
      <c r="C88" s="8">
        <v>3854</v>
      </c>
      <c r="D88" s="9">
        <v>3713</v>
      </c>
      <c r="E88" s="18">
        <f t="shared" si="8"/>
        <v>15</v>
      </c>
      <c r="F88" s="18">
        <f t="shared" si="9"/>
        <v>14</v>
      </c>
      <c r="G88" s="18">
        <f t="shared" si="10"/>
        <v>0</v>
      </c>
      <c r="H88">
        <f t="shared" si="11"/>
        <v>60</v>
      </c>
      <c r="I88">
        <f t="shared" si="11"/>
        <v>64</v>
      </c>
      <c r="J88">
        <f t="shared" si="11"/>
        <v>62</v>
      </c>
      <c r="K88">
        <f t="shared" si="7"/>
        <v>0</v>
      </c>
    </row>
    <row r="89" spans="1:11" x14ac:dyDescent="0.25">
      <c r="A89" s="13">
        <v>46018</v>
      </c>
      <c r="B89" s="10">
        <v>4570</v>
      </c>
      <c r="C89" s="11">
        <v>2857</v>
      </c>
      <c r="D89" s="12">
        <v>3821</v>
      </c>
      <c r="E89" s="18">
        <f t="shared" si="8"/>
        <v>10</v>
      </c>
      <c r="F89" s="18">
        <f t="shared" si="9"/>
        <v>37</v>
      </c>
      <c r="G89" s="18">
        <f t="shared" si="10"/>
        <v>41</v>
      </c>
      <c r="H89">
        <f t="shared" si="11"/>
        <v>76</v>
      </c>
      <c r="I89">
        <f t="shared" si="11"/>
        <v>47</v>
      </c>
      <c r="J89">
        <f t="shared" si="11"/>
        <v>63</v>
      </c>
      <c r="K89">
        <f t="shared" si="7"/>
        <v>0</v>
      </c>
    </row>
    <row r="90" spans="1:11" x14ac:dyDescent="0.25">
      <c r="A90" s="13">
        <v>46019</v>
      </c>
      <c r="B90" s="7">
        <v>3598</v>
      </c>
      <c r="C90" s="8">
        <v>3805</v>
      </c>
      <c r="D90" s="9">
        <v>3769</v>
      </c>
      <c r="E90" s="18">
        <f t="shared" si="8"/>
        <v>0</v>
      </c>
      <c r="F90" s="18">
        <f t="shared" si="9"/>
        <v>0</v>
      </c>
      <c r="G90" s="18">
        <f t="shared" si="10"/>
        <v>0</v>
      </c>
      <c r="H90">
        <f t="shared" si="11"/>
        <v>60</v>
      </c>
      <c r="I90">
        <f t="shared" si="11"/>
        <v>64</v>
      </c>
      <c r="J90">
        <f t="shared" si="11"/>
        <v>63</v>
      </c>
      <c r="K90">
        <f t="shared" si="7"/>
        <v>1</v>
      </c>
    </row>
    <row r="91" spans="1:11" x14ac:dyDescent="0.25">
      <c r="A91" s="13">
        <v>46020</v>
      </c>
      <c r="B91" s="10">
        <v>4365</v>
      </c>
      <c r="C91" s="11">
        <v>3553</v>
      </c>
      <c r="D91" s="12">
        <v>3861</v>
      </c>
      <c r="E91" s="18">
        <f t="shared" si="8"/>
        <v>45</v>
      </c>
      <c r="F91" s="18">
        <f t="shared" si="9"/>
        <v>13</v>
      </c>
      <c r="G91" s="18">
        <f t="shared" si="10"/>
        <v>21</v>
      </c>
      <c r="H91">
        <f t="shared" si="11"/>
        <v>72</v>
      </c>
      <c r="I91">
        <f t="shared" si="11"/>
        <v>59</v>
      </c>
      <c r="J91">
        <f t="shared" si="11"/>
        <v>64</v>
      </c>
      <c r="K91">
        <f t="shared" si="7"/>
        <v>0</v>
      </c>
    </row>
    <row r="92" spans="1:11" x14ac:dyDescent="0.25">
      <c r="A92" s="13">
        <v>46021</v>
      </c>
      <c r="B92" s="7">
        <v>4998</v>
      </c>
      <c r="C92" s="8">
        <v>3365</v>
      </c>
      <c r="D92" s="9">
        <v>3839</v>
      </c>
      <c r="E92" s="18">
        <f t="shared" si="8"/>
        <v>0</v>
      </c>
      <c r="F92" s="18">
        <f t="shared" si="9"/>
        <v>5</v>
      </c>
      <c r="G92" s="18">
        <f t="shared" si="10"/>
        <v>0</v>
      </c>
      <c r="H92">
        <f t="shared" si="11"/>
        <v>84</v>
      </c>
      <c r="I92">
        <f t="shared" si="11"/>
        <v>56</v>
      </c>
      <c r="J92">
        <f t="shared" si="11"/>
        <v>64</v>
      </c>
      <c r="K92">
        <f t="shared" si="7"/>
        <v>0</v>
      </c>
    </row>
    <row r="93" spans="1:11" x14ac:dyDescent="0.25">
      <c r="A93" s="13">
        <v>46022</v>
      </c>
      <c r="B93" s="10">
        <v>3824</v>
      </c>
      <c r="C93" s="11">
        <v>3612</v>
      </c>
      <c r="D93" s="12">
        <v>3928</v>
      </c>
      <c r="E93" s="18">
        <f t="shared" si="8"/>
        <v>44</v>
      </c>
      <c r="F93" s="18">
        <f t="shared" si="9"/>
        <v>12</v>
      </c>
      <c r="G93" s="18">
        <f t="shared" si="10"/>
        <v>28</v>
      </c>
      <c r="H93">
        <f t="shared" si="11"/>
        <v>63</v>
      </c>
      <c r="I93">
        <f t="shared" si="11"/>
        <v>60</v>
      </c>
      <c r="J93">
        <f t="shared" si="11"/>
        <v>65</v>
      </c>
      <c r="K93">
        <f t="shared" si="7"/>
        <v>0</v>
      </c>
    </row>
    <row r="94" spans="1:11" x14ac:dyDescent="0.25">
      <c r="A94" s="13">
        <v>46023</v>
      </c>
      <c r="B94" s="7">
        <v>3168</v>
      </c>
      <c r="C94" s="8">
        <v>4708</v>
      </c>
      <c r="D94" s="9">
        <v>4087</v>
      </c>
      <c r="E94" s="18">
        <f t="shared" si="8"/>
        <v>0</v>
      </c>
      <c r="F94" s="18">
        <f t="shared" si="9"/>
        <v>28</v>
      </c>
      <c r="G94" s="18">
        <f t="shared" si="10"/>
        <v>7</v>
      </c>
      <c r="H94">
        <f t="shared" si="11"/>
        <v>53</v>
      </c>
      <c r="I94">
        <f t="shared" si="11"/>
        <v>78</v>
      </c>
      <c r="J94">
        <f t="shared" si="11"/>
        <v>68</v>
      </c>
      <c r="K94">
        <f t="shared" si="7"/>
        <v>0</v>
      </c>
    </row>
    <row r="95" spans="1:11" x14ac:dyDescent="0.25">
      <c r="A95" s="13">
        <v>46024</v>
      </c>
      <c r="B95" s="10">
        <v>4042</v>
      </c>
      <c r="C95" s="11">
        <v>4551</v>
      </c>
      <c r="D95" s="12">
        <v>3868</v>
      </c>
      <c r="E95" s="18">
        <f t="shared" si="8"/>
        <v>22</v>
      </c>
      <c r="F95" s="18">
        <f t="shared" si="9"/>
        <v>0</v>
      </c>
      <c r="G95" s="18">
        <f t="shared" si="10"/>
        <v>28</v>
      </c>
      <c r="H95">
        <f t="shared" si="11"/>
        <v>67</v>
      </c>
      <c r="I95">
        <f t="shared" si="11"/>
        <v>76</v>
      </c>
      <c r="J95">
        <f t="shared" si="11"/>
        <v>64</v>
      </c>
      <c r="K95">
        <f t="shared" si="7"/>
        <v>0</v>
      </c>
    </row>
    <row r="96" spans="1:11" x14ac:dyDescent="0.25">
      <c r="A96" s="13">
        <v>46025</v>
      </c>
      <c r="B96" s="7">
        <v>4346</v>
      </c>
      <c r="C96" s="8">
        <v>4149</v>
      </c>
      <c r="D96" s="9">
        <v>3664</v>
      </c>
      <c r="E96" s="18">
        <f t="shared" si="8"/>
        <v>26</v>
      </c>
      <c r="F96" s="18">
        <f t="shared" si="9"/>
        <v>9</v>
      </c>
      <c r="G96" s="18">
        <f t="shared" si="10"/>
        <v>4</v>
      </c>
      <c r="H96">
        <f t="shared" si="11"/>
        <v>72</v>
      </c>
      <c r="I96">
        <f t="shared" si="11"/>
        <v>69</v>
      </c>
      <c r="J96">
        <f t="shared" si="11"/>
        <v>61</v>
      </c>
      <c r="K96">
        <f t="shared" si="7"/>
        <v>0</v>
      </c>
    </row>
    <row r="97" spans="1:11" x14ac:dyDescent="0.25">
      <c r="A97" s="13">
        <v>46026</v>
      </c>
      <c r="B97" s="10">
        <v>4903</v>
      </c>
      <c r="C97" s="11">
        <v>4370</v>
      </c>
      <c r="D97" s="12">
        <v>4421</v>
      </c>
      <c r="E97" s="18">
        <f t="shared" si="8"/>
        <v>0</v>
      </c>
      <c r="F97" s="18">
        <f t="shared" si="9"/>
        <v>50</v>
      </c>
      <c r="G97" s="18">
        <f t="shared" si="10"/>
        <v>41</v>
      </c>
      <c r="H97">
        <f t="shared" si="11"/>
        <v>82</v>
      </c>
      <c r="I97">
        <f t="shared" si="11"/>
        <v>72</v>
      </c>
      <c r="J97">
        <f t="shared" si="11"/>
        <v>73</v>
      </c>
      <c r="K97">
        <f t="shared" si="7"/>
        <v>0</v>
      </c>
    </row>
    <row r="98" spans="1:11" x14ac:dyDescent="0.25">
      <c r="A98" s="13">
        <v>46027</v>
      </c>
      <c r="B98" s="7">
        <v>4202</v>
      </c>
      <c r="C98" s="8">
        <v>3920</v>
      </c>
      <c r="D98" s="9">
        <v>4413</v>
      </c>
      <c r="E98" s="18">
        <f t="shared" si="8"/>
        <v>2</v>
      </c>
      <c r="F98" s="18">
        <f t="shared" si="9"/>
        <v>0</v>
      </c>
      <c r="G98" s="18">
        <f t="shared" si="10"/>
        <v>0</v>
      </c>
      <c r="H98">
        <f t="shared" si="11"/>
        <v>70</v>
      </c>
      <c r="I98">
        <f t="shared" si="11"/>
        <v>66</v>
      </c>
      <c r="J98">
        <f t="shared" si="11"/>
        <v>74</v>
      </c>
      <c r="K98">
        <f t="shared" si="7"/>
        <v>0</v>
      </c>
    </row>
    <row r="99" spans="1:11" x14ac:dyDescent="0.25">
      <c r="A99" s="13">
        <v>46028</v>
      </c>
      <c r="B99" s="10">
        <v>3594</v>
      </c>
      <c r="C99" s="11">
        <v>4538</v>
      </c>
      <c r="D99" s="12">
        <v>3722</v>
      </c>
      <c r="E99" s="18">
        <f t="shared" si="8"/>
        <v>54</v>
      </c>
      <c r="F99" s="18">
        <f t="shared" si="9"/>
        <v>38</v>
      </c>
      <c r="G99" s="18">
        <f t="shared" si="10"/>
        <v>2</v>
      </c>
      <c r="H99">
        <f t="shared" si="11"/>
        <v>59</v>
      </c>
      <c r="I99">
        <f t="shared" si="11"/>
        <v>75</v>
      </c>
      <c r="J99">
        <f t="shared" si="11"/>
        <v>62</v>
      </c>
      <c r="K99">
        <f t="shared" si="7"/>
        <v>0</v>
      </c>
    </row>
    <row r="100" spans="1:11" x14ac:dyDescent="0.25">
      <c r="A100" s="13">
        <v>46029</v>
      </c>
      <c r="B100" s="7">
        <v>4837</v>
      </c>
      <c r="C100" s="8">
        <v>3455</v>
      </c>
      <c r="D100" s="9">
        <v>3595</v>
      </c>
      <c r="E100" s="18">
        <f t="shared" si="8"/>
        <v>0</v>
      </c>
      <c r="F100" s="18">
        <f t="shared" si="9"/>
        <v>0</v>
      </c>
      <c r="G100" s="18">
        <f t="shared" si="10"/>
        <v>55</v>
      </c>
      <c r="H100">
        <f t="shared" si="11"/>
        <v>81</v>
      </c>
      <c r="I100">
        <f t="shared" si="11"/>
        <v>58</v>
      </c>
      <c r="J100">
        <f t="shared" si="11"/>
        <v>59</v>
      </c>
      <c r="K100">
        <f t="shared" si="7"/>
        <v>0</v>
      </c>
    </row>
    <row r="101" spans="1:11" x14ac:dyDescent="0.25">
      <c r="A101" s="13">
        <v>46030</v>
      </c>
      <c r="B101" s="10">
        <v>3528</v>
      </c>
      <c r="C101" s="11">
        <v>3524</v>
      </c>
      <c r="D101" s="12">
        <v>3768</v>
      </c>
      <c r="E101" s="18">
        <f t="shared" si="8"/>
        <v>48</v>
      </c>
      <c r="F101" s="18">
        <f t="shared" si="9"/>
        <v>44</v>
      </c>
      <c r="G101" s="18">
        <f t="shared" si="10"/>
        <v>0</v>
      </c>
      <c r="H101">
        <f t="shared" si="11"/>
        <v>58</v>
      </c>
      <c r="I101">
        <f t="shared" si="11"/>
        <v>58</v>
      </c>
      <c r="J101">
        <f t="shared" si="11"/>
        <v>63</v>
      </c>
      <c r="K101">
        <f t="shared" si="7"/>
        <v>0</v>
      </c>
    </row>
    <row r="102" spans="1:11" x14ac:dyDescent="0.25">
      <c r="A102" s="13">
        <v>46031</v>
      </c>
      <c r="B102" s="7">
        <v>4869</v>
      </c>
      <c r="C102" s="8">
        <v>2564</v>
      </c>
      <c r="D102" s="9">
        <v>3669</v>
      </c>
      <c r="E102" s="18">
        <f t="shared" si="8"/>
        <v>9</v>
      </c>
      <c r="F102" s="18">
        <f t="shared" si="9"/>
        <v>0</v>
      </c>
      <c r="G102" s="18">
        <f t="shared" si="10"/>
        <v>9</v>
      </c>
      <c r="H102">
        <f t="shared" si="11"/>
        <v>81</v>
      </c>
      <c r="I102">
        <f t="shared" si="11"/>
        <v>43</v>
      </c>
      <c r="J102">
        <f t="shared" si="11"/>
        <v>61</v>
      </c>
      <c r="K102">
        <f t="shared" si="7"/>
        <v>0</v>
      </c>
    </row>
    <row r="103" spans="1:11" x14ac:dyDescent="0.25">
      <c r="A103" s="13">
        <v>46032</v>
      </c>
      <c r="B103" s="10">
        <v>4270</v>
      </c>
      <c r="C103" s="11">
        <v>3659</v>
      </c>
      <c r="D103" s="12">
        <v>3829</v>
      </c>
      <c r="E103" s="18">
        <f t="shared" si="8"/>
        <v>10</v>
      </c>
      <c r="F103" s="18">
        <f t="shared" si="9"/>
        <v>59</v>
      </c>
      <c r="G103" s="18">
        <f t="shared" si="10"/>
        <v>49</v>
      </c>
      <c r="H103">
        <f t="shared" si="11"/>
        <v>71</v>
      </c>
      <c r="I103">
        <f t="shared" si="11"/>
        <v>60</v>
      </c>
      <c r="J103">
        <f t="shared" si="11"/>
        <v>63</v>
      </c>
      <c r="K103">
        <f t="shared" si="7"/>
        <v>0</v>
      </c>
    </row>
    <row r="104" spans="1:11" x14ac:dyDescent="0.25">
      <c r="A104" s="13">
        <v>46033</v>
      </c>
      <c r="B104" s="7">
        <v>4266</v>
      </c>
      <c r="C104" s="8">
        <v>3961</v>
      </c>
      <c r="D104" s="9">
        <v>4134</v>
      </c>
      <c r="E104" s="18">
        <f t="shared" si="8"/>
        <v>6</v>
      </c>
      <c r="F104" s="18">
        <f t="shared" si="9"/>
        <v>0</v>
      </c>
      <c r="G104" s="18">
        <f t="shared" si="10"/>
        <v>0</v>
      </c>
      <c r="H104">
        <f t="shared" si="11"/>
        <v>71</v>
      </c>
      <c r="I104">
        <f t="shared" si="11"/>
        <v>67</v>
      </c>
      <c r="J104">
        <f t="shared" si="11"/>
        <v>69</v>
      </c>
      <c r="K104">
        <f t="shared" si="7"/>
        <v>0</v>
      </c>
    </row>
    <row r="105" spans="1:11" x14ac:dyDescent="0.25">
      <c r="A105" s="13">
        <v>46034</v>
      </c>
      <c r="B105" s="10">
        <v>4714</v>
      </c>
      <c r="C105" s="11">
        <v>3735</v>
      </c>
      <c r="D105" s="12">
        <v>3609</v>
      </c>
      <c r="E105" s="18">
        <f t="shared" si="8"/>
        <v>34</v>
      </c>
      <c r="F105" s="18">
        <f t="shared" si="9"/>
        <v>15</v>
      </c>
      <c r="G105" s="18">
        <f t="shared" si="10"/>
        <v>9</v>
      </c>
      <c r="H105">
        <f t="shared" si="11"/>
        <v>78</v>
      </c>
      <c r="I105">
        <f t="shared" si="11"/>
        <v>62</v>
      </c>
      <c r="J105">
        <f t="shared" si="11"/>
        <v>60</v>
      </c>
      <c r="K105">
        <f t="shared" si="7"/>
        <v>0</v>
      </c>
    </row>
    <row r="106" spans="1:11" x14ac:dyDescent="0.25">
      <c r="A106" s="13">
        <v>46035</v>
      </c>
      <c r="B106" s="7">
        <v>3953</v>
      </c>
      <c r="C106" s="8">
        <v>4143</v>
      </c>
      <c r="D106" s="9">
        <v>3971</v>
      </c>
      <c r="E106" s="18">
        <f t="shared" si="8"/>
        <v>0</v>
      </c>
      <c r="F106" s="18">
        <f t="shared" si="9"/>
        <v>3</v>
      </c>
      <c r="G106" s="18">
        <f t="shared" si="10"/>
        <v>11</v>
      </c>
      <c r="H106">
        <f t="shared" si="11"/>
        <v>66</v>
      </c>
      <c r="I106">
        <f t="shared" si="11"/>
        <v>69</v>
      </c>
      <c r="J106">
        <f t="shared" si="11"/>
        <v>66</v>
      </c>
      <c r="K106">
        <f t="shared" si="7"/>
        <v>0</v>
      </c>
    </row>
    <row r="107" spans="1:11" x14ac:dyDescent="0.25">
      <c r="A107" s="13">
        <v>46036</v>
      </c>
      <c r="B107" s="10">
        <v>3659</v>
      </c>
      <c r="C107" s="11">
        <v>4604</v>
      </c>
      <c r="D107" s="12">
        <v>3573</v>
      </c>
      <c r="E107" s="18">
        <f t="shared" si="8"/>
        <v>59</v>
      </c>
      <c r="F107" s="18">
        <f t="shared" si="9"/>
        <v>44</v>
      </c>
      <c r="G107" s="18">
        <f t="shared" si="10"/>
        <v>33</v>
      </c>
      <c r="H107">
        <f t="shared" si="11"/>
        <v>60</v>
      </c>
      <c r="I107">
        <f t="shared" si="11"/>
        <v>76</v>
      </c>
      <c r="J107">
        <f t="shared" si="11"/>
        <v>59</v>
      </c>
      <c r="K107">
        <f t="shared" si="7"/>
        <v>0</v>
      </c>
    </row>
    <row r="108" spans="1:11" x14ac:dyDescent="0.25">
      <c r="A108" s="13">
        <v>46037</v>
      </c>
      <c r="B108" s="7">
        <v>3879</v>
      </c>
      <c r="C108" s="8">
        <v>4415</v>
      </c>
      <c r="D108" s="9">
        <v>4315</v>
      </c>
      <c r="E108" s="18">
        <f t="shared" si="8"/>
        <v>0</v>
      </c>
      <c r="F108" s="18">
        <f t="shared" si="9"/>
        <v>0</v>
      </c>
      <c r="G108" s="18">
        <f t="shared" si="10"/>
        <v>0</v>
      </c>
      <c r="H108">
        <f t="shared" si="11"/>
        <v>65</v>
      </c>
      <c r="I108">
        <f t="shared" si="11"/>
        <v>74</v>
      </c>
      <c r="J108">
        <f t="shared" si="11"/>
        <v>72</v>
      </c>
      <c r="K108">
        <f t="shared" si="7"/>
        <v>1</v>
      </c>
    </row>
    <row r="109" spans="1:11" x14ac:dyDescent="0.25">
      <c r="A109" s="13">
        <v>46038</v>
      </c>
      <c r="B109" s="10">
        <v>3914</v>
      </c>
      <c r="C109" s="11">
        <v>3409</v>
      </c>
      <c r="D109" s="12">
        <v>4351</v>
      </c>
      <c r="E109" s="18">
        <f t="shared" si="8"/>
        <v>14</v>
      </c>
      <c r="F109" s="18">
        <f t="shared" si="9"/>
        <v>49</v>
      </c>
      <c r="G109" s="18">
        <f t="shared" si="10"/>
        <v>31</v>
      </c>
      <c r="H109">
        <f t="shared" si="11"/>
        <v>65</v>
      </c>
      <c r="I109">
        <f t="shared" si="11"/>
        <v>56</v>
      </c>
      <c r="J109">
        <f t="shared" si="11"/>
        <v>72</v>
      </c>
      <c r="K109">
        <f t="shared" si="7"/>
        <v>0</v>
      </c>
    </row>
    <row r="110" spans="1:11" x14ac:dyDescent="0.25">
      <c r="A110" s="13">
        <v>46039</v>
      </c>
      <c r="B110" s="7">
        <v>3339</v>
      </c>
      <c r="C110" s="8">
        <v>3542</v>
      </c>
      <c r="D110" s="9">
        <v>3627</v>
      </c>
      <c r="E110" s="18">
        <f t="shared" si="8"/>
        <v>39</v>
      </c>
      <c r="F110" s="18">
        <f t="shared" si="9"/>
        <v>2</v>
      </c>
      <c r="G110" s="18">
        <f t="shared" si="10"/>
        <v>27</v>
      </c>
      <c r="H110">
        <f t="shared" si="11"/>
        <v>55</v>
      </c>
      <c r="I110">
        <f t="shared" si="11"/>
        <v>59</v>
      </c>
      <c r="J110">
        <f t="shared" si="11"/>
        <v>60</v>
      </c>
      <c r="K110">
        <f t="shared" si="7"/>
        <v>0</v>
      </c>
    </row>
    <row r="111" spans="1:11" x14ac:dyDescent="0.25">
      <c r="A111" s="13">
        <v>46040</v>
      </c>
      <c r="B111" s="10">
        <v>3162</v>
      </c>
      <c r="C111" s="11">
        <v>2896</v>
      </c>
      <c r="D111" s="12">
        <v>3766</v>
      </c>
      <c r="E111" s="18">
        <f t="shared" si="8"/>
        <v>0</v>
      </c>
      <c r="F111" s="18">
        <f t="shared" si="9"/>
        <v>16</v>
      </c>
      <c r="G111" s="18">
        <f t="shared" si="10"/>
        <v>0</v>
      </c>
      <c r="H111">
        <f t="shared" si="11"/>
        <v>53</v>
      </c>
      <c r="I111">
        <f t="shared" si="11"/>
        <v>48</v>
      </c>
      <c r="J111">
        <f t="shared" si="11"/>
        <v>63</v>
      </c>
      <c r="K111">
        <f t="shared" si="7"/>
        <v>0</v>
      </c>
    </row>
    <row r="112" spans="1:11" x14ac:dyDescent="0.25">
      <c r="A112" s="13">
        <v>46041</v>
      </c>
      <c r="B112" s="7">
        <v>3060</v>
      </c>
      <c r="C112" s="8">
        <v>4654</v>
      </c>
      <c r="D112" s="9">
        <v>4424</v>
      </c>
      <c r="E112" s="18">
        <f t="shared" si="8"/>
        <v>0</v>
      </c>
      <c r="F112" s="18">
        <f t="shared" si="9"/>
        <v>34</v>
      </c>
      <c r="G112" s="18">
        <f t="shared" si="10"/>
        <v>44</v>
      </c>
      <c r="H112">
        <f t="shared" si="11"/>
        <v>51</v>
      </c>
      <c r="I112">
        <f t="shared" si="11"/>
        <v>77</v>
      </c>
      <c r="J112">
        <f t="shared" si="11"/>
        <v>73</v>
      </c>
      <c r="K112">
        <f t="shared" si="7"/>
        <v>0</v>
      </c>
    </row>
    <row r="113" spans="1:11" x14ac:dyDescent="0.25">
      <c r="A113" s="13">
        <v>46042</v>
      </c>
      <c r="B113" s="10">
        <v>3030</v>
      </c>
      <c r="C113" s="11">
        <v>4743</v>
      </c>
      <c r="D113" s="12">
        <v>4186</v>
      </c>
      <c r="E113" s="18">
        <f t="shared" si="8"/>
        <v>30</v>
      </c>
      <c r="F113" s="18">
        <f t="shared" si="9"/>
        <v>3</v>
      </c>
      <c r="G113" s="18">
        <f t="shared" si="10"/>
        <v>0</v>
      </c>
      <c r="H113">
        <f t="shared" si="11"/>
        <v>50</v>
      </c>
      <c r="I113">
        <f t="shared" si="11"/>
        <v>79</v>
      </c>
      <c r="J113">
        <f t="shared" si="11"/>
        <v>70</v>
      </c>
      <c r="K113">
        <f t="shared" si="7"/>
        <v>0</v>
      </c>
    </row>
    <row r="114" spans="1:11" x14ac:dyDescent="0.25">
      <c r="A114" s="13">
        <v>46043</v>
      </c>
      <c r="B114" s="7">
        <v>4179</v>
      </c>
      <c r="C114" s="8">
        <v>3640</v>
      </c>
      <c r="D114" s="9">
        <v>3831</v>
      </c>
      <c r="E114" s="18">
        <f t="shared" si="8"/>
        <v>0</v>
      </c>
      <c r="F114" s="18">
        <f t="shared" si="9"/>
        <v>40</v>
      </c>
      <c r="G114" s="18">
        <f t="shared" si="10"/>
        <v>51</v>
      </c>
      <c r="H114">
        <f t="shared" si="11"/>
        <v>70</v>
      </c>
      <c r="I114">
        <f t="shared" si="11"/>
        <v>60</v>
      </c>
      <c r="J114">
        <f t="shared" si="11"/>
        <v>63</v>
      </c>
      <c r="K114">
        <f t="shared" si="7"/>
        <v>0</v>
      </c>
    </row>
    <row r="115" spans="1:11" x14ac:dyDescent="0.25">
      <c r="A115" s="13">
        <v>46044</v>
      </c>
      <c r="B115" s="10">
        <v>4608</v>
      </c>
      <c r="C115" s="11">
        <v>2935</v>
      </c>
      <c r="D115" s="12">
        <v>3605</v>
      </c>
      <c r="E115" s="18">
        <f t="shared" si="8"/>
        <v>48</v>
      </c>
      <c r="F115" s="18">
        <f t="shared" si="9"/>
        <v>0</v>
      </c>
      <c r="G115" s="18">
        <f t="shared" si="10"/>
        <v>5</v>
      </c>
      <c r="H115">
        <f t="shared" si="11"/>
        <v>76</v>
      </c>
      <c r="I115">
        <f t="shared" si="11"/>
        <v>49</v>
      </c>
      <c r="J115">
        <f t="shared" si="11"/>
        <v>60</v>
      </c>
      <c r="K115">
        <f t="shared" si="7"/>
        <v>0</v>
      </c>
    </row>
    <row r="116" spans="1:11" x14ac:dyDescent="0.25">
      <c r="A116" s="13">
        <v>46045</v>
      </c>
      <c r="B116" s="7">
        <v>3033</v>
      </c>
      <c r="C116" s="8">
        <v>3819</v>
      </c>
      <c r="D116" s="9">
        <v>3718</v>
      </c>
      <c r="E116" s="18">
        <f t="shared" si="8"/>
        <v>0</v>
      </c>
      <c r="F116" s="18">
        <f t="shared" si="9"/>
        <v>39</v>
      </c>
      <c r="G116" s="18">
        <f t="shared" si="10"/>
        <v>0</v>
      </c>
      <c r="H116">
        <f t="shared" si="11"/>
        <v>51</v>
      </c>
      <c r="I116">
        <f t="shared" si="11"/>
        <v>63</v>
      </c>
      <c r="J116">
        <f t="shared" si="11"/>
        <v>62</v>
      </c>
      <c r="K116">
        <f t="shared" si="7"/>
        <v>0</v>
      </c>
    </row>
    <row r="117" spans="1:11" x14ac:dyDescent="0.25">
      <c r="A117" s="13">
        <v>46046</v>
      </c>
      <c r="B117" s="10">
        <v>4026</v>
      </c>
      <c r="C117" s="11">
        <v>2995</v>
      </c>
      <c r="D117" s="12">
        <v>3879</v>
      </c>
      <c r="E117" s="18">
        <f t="shared" si="8"/>
        <v>6</v>
      </c>
      <c r="F117" s="18">
        <f t="shared" si="9"/>
        <v>0</v>
      </c>
      <c r="G117" s="18">
        <f t="shared" si="10"/>
        <v>39</v>
      </c>
      <c r="H117">
        <f t="shared" si="11"/>
        <v>67</v>
      </c>
      <c r="I117">
        <f t="shared" si="11"/>
        <v>50</v>
      </c>
      <c r="J117">
        <f t="shared" si="11"/>
        <v>64</v>
      </c>
      <c r="K117">
        <f t="shared" si="7"/>
        <v>0</v>
      </c>
    </row>
    <row r="118" spans="1:11" x14ac:dyDescent="0.25">
      <c r="A118" s="13">
        <v>46047</v>
      </c>
      <c r="B118" s="7">
        <v>3351</v>
      </c>
      <c r="C118" s="8">
        <v>3804</v>
      </c>
      <c r="D118" s="9">
        <v>3881</v>
      </c>
      <c r="E118" s="18">
        <f t="shared" si="8"/>
        <v>51</v>
      </c>
      <c r="F118" s="18">
        <f t="shared" si="9"/>
        <v>24</v>
      </c>
      <c r="G118" s="18">
        <f t="shared" si="10"/>
        <v>0</v>
      </c>
      <c r="H118">
        <f t="shared" si="11"/>
        <v>55</v>
      </c>
      <c r="I118">
        <f t="shared" si="11"/>
        <v>63</v>
      </c>
      <c r="J118">
        <f t="shared" si="11"/>
        <v>65</v>
      </c>
      <c r="K118">
        <f t="shared" si="7"/>
        <v>0</v>
      </c>
    </row>
    <row r="119" spans="1:11" x14ac:dyDescent="0.25">
      <c r="A119" s="13">
        <v>46048</v>
      </c>
      <c r="B119" s="10">
        <v>4157</v>
      </c>
      <c r="C119" s="11">
        <v>4105</v>
      </c>
      <c r="D119" s="12">
        <v>3818</v>
      </c>
      <c r="E119" s="18">
        <f t="shared" si="8"/>
        <v>0</v>
      </c>
      <c r="F119" s="18">
        <f t="shared" si="9"/>
        <v>25</v>
      </c>
      <c r="G119" s="18">
        <f t="shared" si="10"/>
        <v>38</v>
      </c>
      <c r="H119">
        <f t="shared" si="11"/>
        <v>70</v>
      </c>
      <c r="I119">
        <f t="shared" si="11"/>
        <v>68</v>
      </c>
      <c r="J119">
        <f t="shared" si="11"/>
        <v>63</v>
      </c>
      <c r="K119">
        <f t="shared" si="7"/>
        <v>0</v>
      </c>
    </row>
    <row r="120" spans="1:11" x14ac:dyDescent="0.25">
      <c r="A120" s="13">
        <v>46049</v>
      </c>
      <c r="B120" s="7">
        <v>3435</v>
      </c>
      <c r="C120" s="8">
        <v>4678</v>
      </c>
      <c r="D120" s="9">
        <v>4051</v>
      </c>
      <c r="E120" s="18">
        <f t="shared" si="8"/>
        <v>15</v>
      </c>
      <c r="F120" s="18">
        <f t="shared" si="9"/>
        <v>0</v>
      </c>
      <c r="G120" s="18">
        <f t="shared" si="10"/>
        <v>0</v>
      </c>
      <c r="H120">
        <f t="shared" si="11"/>
        <v>57</v>
      </c>
      <c r="I120">
        <f t="shared" si="11"/>
        <v>78</v>
      </c>
      <c r="J120">
        <f t="shared" si="11"/>
        <v>68</v>
      </c>
      <c r="K120">
        <f t="shared" si="7"/>
        <v>0</v>
      </c>
    </row>
    <row r="121" spans="1:11" x14ac:dyDescent="0.25">
      <c r="A121" s="13">
        <v>46050</v>
      </c>
      <c r="B121" s="10">
        <v>3210</v>
      </c>
      <c r="C121" s="11">
        <v>2845</v>
      </c>
      <c r="D121" s="12">
        <v>4169</v>
      </c>
      <c r="E121" s="18">
        <f t="shared" si="8"/>
        <v>30</v>
      </c>
      <c r="F121" s="18">
        <f t="shared" si="9"/>
        <v>25</v>
      </c>
      <c r="G121" s="18">
        <f t="shared" si="10"/>
        <v>29</v>
      </c>
      <c r="H121">
        <f t="shared" si="11"/>
        <v>53</v>
      </c>
      <c r="I121">
        <f t="shared" si="11"/>
        <v>47</v>
      </c>
      <c r="J121">
        <f t="shared" si="11"/>
        <v>69</v>
      </c>
      <c r="K121">
        <f t="shared" si="7"/>
        <v>0</v>
      </c>
    </row>
    <row r="122" spans="1:11" x14ac:dyDescent="0.25">
      <c r="A122" s="13">
        <v>46051</v>
      </c>
      <c r="B122" s="7">
        <v>3472</v>
      </c>
      <c r="C122" s="8">
        <v>3921</v>
      </c>
      <c r="D122" s="9">
        <v>3819</v>
      </c>
      <c r="E122" s="18">
        <f t="shared" si="8"/>
        <v>0</v>
      </c>
      <c r="F122" s="18">
        <f t="shared" si="9"/>
        <v>21</v>
      </c>
      <c r="G122" s="18">
        <f t="shared" si="10"/>
        <v>0</v>
      </c>
      <c r="H122">
        <f t="shared" si="11"/>
        <v>58</v>
      </c>
      <c r="I122">
        <f t="shared" si="11"/>
        <v>65</v>
      </c>
      <c r="J122">
        <f t="shared" si="11"/>
        <v>64</v>
      </c>
      <c r="K122">
        <f t="shared" si="7"/>
        <v>0</v>
      </c>
    </row>
    <row r="123" spans="1:11" x14ac:dyDescent="0.25">
      <c r="A123" s="13">
        <v>46052</v>
      </c>
      <c r="B123" s="10">
        <v>4654</v>
      </c>
      <c r="C123" s="11">
        <v>4096</v>
      </c>
      <c r="D123" s="12">
        <v>3537</v>
      </c>
      <c r="E123" s="18">
        <f t="shared" si="8"/>
        <v>34</v>
      </c>
      <c r="F123" s="18">
        <f t="shared" si="9"/>
        <v>16</v>
      </c>
      <c r="G123" s="18">
        <f t="shared" si="10"/>
        <v>57</v>
      </c>
      <c r="H123">
        <f t="shared" si="11"/>
        <v>77</v>
      </c>
      <c r="I123">
        <f t="shared" si="11"/>
        <v>68</v>
      </c>
      <c r="J123">
        <f t="shared" si="11"/>
        <v>58</v>
      </c>
      <c r="K123">
        <f t="shared" si="7"/>
        <v>0</v>
      </c>
    </row>
    <row r="124" spans="1:11" x14ac:dyDescent="0.25">
      <c r="A124" s="13">
        <v>46053</v>
      </c>
      <c r="B124" s="7">
        <v>4837</v>
      </c>
      <c r="C124" s="8">
        <v>3080</v>
      </c>
      <c r="D124" s="9">
        <v>4401</v>
      </c>
      <c r="E124" s="18">
        <f t="shared" si="8"/>
        <v>0</v>
      </c>
      <c r="F124" s="18">
        <f t="shared" si="9"/>
        <v>20</v>
      </c>
      <c r="G124" s="18">
        <f t="shared" si="10"/>
        <v>0</v>
      </c>
      <c r="H124">
        <f t="shared" si="11"/>
        <v>81</v>
      </c>
      <c r="I124">
        <f t="shared" si="11"/>
        <v>51</v>
      </c>
      <c r="J124">
        <f t="shared" si="11"/>
        <v>74</v>
      </c>
      <c r="K124">
        <f t="shared" si="7"/>
        <v>0</v>
      </c>
    </row>
    <row r="125" spans="1:11" x14ac:dyDescent="0.25">
      <c r="A125" s="13">
        <v>46054</v>
      </c>
      <c r="B125" s="10">
        <v>4533</v>
      </c>
      <c r="C125" s="11">
        <v>4971</v>
      </c>
      <c r="D125" s="12">
        <v>4085</v>
      </c>
      <c r="E125" s="18">
        <f t="shared" si="8"/>
        <v>33</v>
      </c>
      <c r="F125" s="18">
        <f t="shared" si="9"/>
        <v>0</v>
      </c>
      <c r="G125" s="18">
        <f t="shared" si="10"/>
        <v>5</v>
      </c>
      <c r="H125">
        <f t="shared" si="11"/>
        <v>75</v>
      </c>
      <c r="I125">
        <f t="shared" si="11"/>
        <v>83</v>
      </c>
      <c r="J125">
        <f t="shared" si="11"/>
        <v>68</v>
      </c>
      <c r="K125">
        <f t="shared" si="7"/>
        <v>0</v>
      </c>
    </row>
    <row r="126" spans="1:11" x14ac:dyDescent="0.25">
      <c r="A126" s="13">
        <v>46055</v>
      </c>
      <c r="B126" s="7">
        <v>4473</v>
      </c>
      <c r="C126" s="8">
        <v>3814</v>
      </c>
      <c r="D126" s="9">
        <v>3674</v>
      </c>
      <c r="E126" s="18">
        <f t="shared" si="8"/>
        <v>0</v>
      </c>
      <c r="F126" s="18">
        <f t="shared" si="9"/>
        <v>34</v>
      </c>
      <c r="G126" s="18">
        <f t="shared" si="10"/>
        <v>14</v>
      </c>
      <c r="H126">
        <f t="shared" si="11"/>
        <v>75</v>
      </c>
      <c r="I126">
        <f t="shared" si="11"/>
        <v>63</v>
      </c>
      <c r="J126">
        <f t="shared" si="11"/>
        <v>61</v>
      </c>
      <c r="K126">
        <f t="shared" si="7"/>
        <v>0</v>
      </c>
    </row>
    <row r="127" spans="1:11" x14ac:dyDescent="0.25">
      <c r="A127" s="13">
        <v>46056</v>
      </c>
      <c r="B127" s="10">
        <v>4325</v>
      </c>
      <c r="C127" s="11">
        <v>3187</v>
      </c>
      <c r="D127" s="12">
        <v>3755</v>
      </c>
      <c r="E127" s="18">
        <f t="shared" si="8"/>
        <v>5</v>
      </c>
      <c r="F127" s="18">
        <f t="shared" si="9"/>
        <v>7</v>
      </c>
      <c r="G127" s="18">
        <f t="shared" si="10"/>
        <v>35</v>
      </c>
      <c r="H127">
        <f t="shared" si="11"/>
        <v>72</v>
      </c>
      <c r="I127">
        <f t="shared" si="11"/>
        <v>53</v>
      </c>
      <c r="J127">
        <f t="shared" si="11"/>
        <v>62</v>
      </c>
      <c r="K127">
        <f t="shared" si="7"/>
        <v>0</v>
      </c>
    </row>
    <row r="128" spans="1:11" x14ac:dyDescent="0.25">
      <c r="A128" s="13">
        <v>46057</v>
      </c>
      <c r="B128" s="7">
        <v>4048</v>
      </c>
      <c r="C128" s="8">
        <v>2556</v>
      </c>
      <c r="D128" s="9">
        <v>4060</v>
      </c>
      <c r="E128" s="18">
        <f t="shared" si="8"/>
        <v>28</v>
      </c>
      <c r="F128" s="18">
        <f t="shared" si="9"/>
        <v>36</v>
      </c>
      <c r="G128" s="18">
        <f t="shared" si="10"/>
        <v>0</v>
      </c>
      <c r="H128">
        <f t="shared" si="11"/>
        <v>67</v>
      </c>
      <c r="I128">
        <f t="shared" si="11"/>
        <v>42</v>
      </c>
      <c r="J128">
        <f t="shared" si="11"/>
        <v>68</v>
      </c>
      <c r="K128">
        <f t="shared" si="7"/>
        <v>0</v>
      </c>
    </row>
    <row r="129" spans="1:11" x14ac:dyDescent="0.25">
      <c r="A129" s="13">
        <v>46058</v>
      </c>
      <c r="B129" s="10">
        <v>3142</v>
      </c>
      <c r="C129" s="11">
        <v>3697</v>
      </c>
      <c r="D129" s="12">
        <v>4184</v>
      </c>
      <c r="E129" s="18">
        <f t="shared" si="8"/>
        <v>22</v>
      </c>
      <c r="F129" s="18">
        <f t="shared" si="9"/>
        <v>0</v>
      </c>
      <c r="G129" s="18">
        <f t="shared" si="10"/>
        <v>44</v>
      </c>
      <c r="H129">
        <f t="shared" si="11"/>
        <v>52</v>
      </c>
      <c r="I129">
        <f t="shared" si="11"/>
        <v>62</v>
      </c>
      <c r="J129">
        <f t="shared" si="11"/>
        <v>69</v>
      </c>
      <c r="K129">
        <f t="shared" si="7"/>
        <v>0</v>
      </c>
    </row>
    <row r="130" spans="1:11" x14ac:dyDescent="0.25">
      <c r="A130" s="13">
        <v>46059</v>
      </c>
      <c r="B130" s="7">
        <v>4400</v>
      </c>
      <c r="C130" s="8">
        <v>4840</v>
      </c>
      <c r="D130" s="9">
        <v>3503</v>
      </c>
      <c r="E130" s="18">
        <f t="shared" si="8"/>
        <v>20</v>
      </c>
      <c r="F130" s="18">
        <f t="shared" si="9"/>
        <v>40</v>
      </c>
      <c r="G130" s="18">
        <f t="shared" si="10"/>
        <v>0</v>
      </c>
      <c r="H130">
        <f t="shared" si="11"/>
        <v>73</v>
      </c>
      <c r="I130">
        <f t="shared" si="11"/>
        <v>80</v>
      </c>
      <c r="J130">
        <f t="shared" si="11"/>
        <v>59</v>
      </c>
      <c r="K130">
        <f t="shared" si="7"/>
        <v>0</v>
      </c>
    </row>
    <row r="131" spans="1:11" x14ac:dyDescent="0.25">
      <c r="A131" s="13">
        <v>46060</v>
      </c>
      <c r="B131" s="10">
        <v>4885</v>
      </c>
      <c r="C131" s="11">
        <v>4696</v>
      </c>
      <c r="D131" s="12">
        <v>3652</v>
      </c>
      <c r="E131" s="18">
        <f t="shared" si="8"/>
        <v>25</v>
      </c>
      <c r="F131" s="18">
        <f t="shared" si="9"/>
        <v>16</v>
      </c>
      <c r="G131" s="18">
        <f t="shared" si="10"/>
        <v>52</v>
      </c>
      <c r="H131">
        <f t="shared" si="11"/>
        <v>81</v>
      </c>
      <c r="I131">
        <f t="shared" si="11"/>
        <v>78</v>
      </c>
      <c r="J131">
        <f t="shared" si="11"/>
        <v>60</v>
      </c>
      <c r="K131">
        <f t="shared" ref="K131:K183" si="12">IF(AND(E131=0,F131=0,G131=0),1,0)</f>
        <v>0</v>
      </c>
    </row>
    <row r="132" spans="1:11" x14ac:dyDescent="0.25">
      <c r="A132" s="13">
        <v>46061</v>
      </c>
      <c r="B132" s="7">
        <v>4586</v>
      </c>
      <c r="C132" s="8">
        <v>4554</v>
      </c>
      <c r="D132" s="9">
        <v>4464</v>
      </c>
      <c r="E132" s="18">
        <f t="shared" ref="E132:E183" si="13">IF(B132-60*H132&gt;0,B132-60*H132,0)</f>
        <v>26</v>
      </c>
      <c r="F132" s="18">
        <f t="shared" ref="F132:F183" si="14">IF(C132-60*I132&gt;0,C132-60*I132,0)</f>
        <v>0</v>
      </c>
      <c r="G132" s="18">
        <f t="shared" ref="G132:G183" si="15">IF(D132-60*J132&gt;0,D132-60*J132,0)</f>
        <v>0</v>
      </c>
      <c r="H132">
        <f t="shared" ref="H132:J183" si="16">ROUNDDOWN((B132+E131)/60,0)</f>
        <v>76</v>
      </c>
      <c r="I132">
        <f t="shared" si="16"/>
        <v>76</v>
      </c>
      <c r="J132">
        <f t="shared" si="16"/>
        <v>75</v>
      </c>
      <c r="K132">
        <f t="shared" si="12"/>
        <v>0</v>
      </c>
    </row>
    <row r="133" spans="1:11" x14ac:dyDescent="0.25">
      <c r="A133" s="13">
        <v>46062</v>
      </c>
      <c r="B133" s="10">
        <v>3679</v>
      </c>
      <c r="C133" s="11">
        <v>3979</v>
      </c>
      <c r="D133" s="12">
        <v>3768</v>
      </c>
      <c r="E133" s="18">
        <f t="shared" si="13"/>
        <v>19</v>
      </c>
      <c r="F133" s="18">
        <f t="shared" si="14"/>
        <v>19</v>
      </c>
      <c r="G133" s="18">
        <f t="shared" si="15"/>
        <v>48</v>
      </c>
      <c r="H133">
        <f t="shared" si="16"/>
        <v>61</v>
      </c>
      <c r="I133">
        <f t="shared" si="16"/>
        <v>66</v>
      </c>
      <c r="J133">
        <f t="shared" si="16"/>
        <v>62</v>
      </c>
      <c r="K133">
        <f t="shared" si="12"/>
        <v>0</v>
      </c>
    </row>
    <row r="134" spans="1:11" x14ac:dyDescent="0.25">
      <c r="A134" s="13">
        <v>46063</v>
      </c>
      <c r="B134" s="7">
        <v>4994</v>
      </c>
      <c r="C134" s="8">
        <v>3366</v>
      </c>
      <c r="D134" s="9">
        <v>4355</v>
      </c>
      <c r="E134" s="18">
        <f t="shared" si="13"/>
        <v>14</v>
      </c>
      <c r="F134" s="18">
        <f t="shared" si="14"/>
        <v>6</v>
      </c>
      <c r="G134" s="18">
        <f t="shared" si="15"/>
        <v>0</v>
      </c>
      <c r="H134">
        <f t="shared" si="16"/>
        <v>83</v>
      </c>
      <c r="I134">
        <f t="shared" si="16"/>
        <v>56</v>
      </c>
      <c r="J134">
        <f t="shared" si="16"/>
        <v>73</v>
      </c>
      <c r="K134">
        <f t="shared" si="12"/>
        <v>0</v>
      </c>
    </row>
    <row r="135" spans="1:11" x14ac:dyDescent="0.25">
      <c r="A135" s="13">
        <v>46064</v>
      </c>
      <c r="B135" s="10">
        <v>4127</v>
      </c>
      <c r="C135" s="11">
        <v>3480</v>
      </c>
      <c r="D135" s="12">
        <v>4182</v>
      </c>
      <c r="E135" s="18">
        <f t="shared" si="13"/>
        <v>0</v>
      </c>
      <c r="F135" s="18">
        <f t="shared" si="14"/>
        <v>0</v>
      </c>
      <c r="G135" s="18">
        <f t="shared" si="15"/>
        <v>42</v>
      </c>
      <c r="H135">
        <f t="shared" si="16"/>
        <v>69</v>
      </c>
      <c r="I135">
        <f t="shared" si="16"/>
        <v>58</v>
      </c>
      <c r="J135">
        <f t="shared" si="16"/>
        <v>69</v>
      </c>
      <c r="K135">
        <f t="shared" si="12"/>
        <v>0</v>
      </c>
    </row>
    <row r="136" spans="1:11" x14ac:dyDescent="0.25">
      <c r="A136" s="13">
        <v>46065</v>
      </c>
      <c r="B136" s="7">
        <v>3554</v>
      </c>
      <c r="C136" s="8">
        <v>4347</v>
      </c>
      <c r="D136" s="9">
        <v>4384</v>
      </c>
      <c r="E136" s="18">
        <f t="shared" si="13"/>
        <v>14</v>
      </c>
      <c r="F136" s="18">
        <f t="shared" si="14"/>
        <v>27</v>
      </c>
      <c r="G136" s="18">
        <f t="shared" si="15"/>
        <v>4</v>
      </c>
      <c r="H136">
        <f t="shared" si="16"/>
        <v>59</v>
      </c>
      <c r="I136">
        <f t="shared" si="16"/>
        <v>72</v>
      </c>
      <c r="J136">
        <f t="shared" si="16"/>
        <v>73</v>
      </c>
      <c r="K136">
        <f t="shared" si="12"/>
        <v>0</v>
      </c>
    </row>
    <row r="137" spans="1:11" x14ac:dyDescent="0.25">
      <c r="A137" s="13">
        <v>46066</v>
      </c>
      <c r="B137" s="10">
        <v>3048</v>
      </c>
      <c r="C137" s="11">
        <v>4199</v>
      </c>
      <c r="D137" s="12">
        <v>4406</v>
      </c>
      <c r="E137" s="18">
        <f t="shared" si="13"/>
        <v>0</v>
      </c>
      <c r="F137" s="18">
        <f t="shared" si="14"/>
        <v>0</v>
      </c>
      <c r="G137" s="18">
        <f t="shared" si="15"/>
        <v>26</v>
      </c>
      <c r="H137">
        <f t="shared" si="16"/>
        <v>51</v>
      </c>
      <c r="I137">
        <f t="shared" si="16"/>
        <v>70</v>
      </c>
      <c r="J137">
        <f t="shared" si="16"/>
        <v>73</v>
      </c>
      <c r="K137">
        <f t="shared" si="12"/>
        <v>0</v>
      </c>
    </row>
    <row r="138" spans="1:11" x14ac:dyDescent="0.25">
      <c r="A138" s="13">
        <v>46067</v>
      </c>
      <c r="B138" s="7">
        <v>4026</v>
      </c>
      <c r="C138" s="8">
        <v>4274</v>
      </c>
      <c r="D138" s="9">
        <v>4115</v>
      </c>
      <c r="E138" s="18">
        <f t="shared" si="13"/>
        <v>6</v>
      </c>
      <c r="F138" s="18">
        <f t="shared" si="14"/>
        <v>14</v>
      </c>
      <c r="G138" s="18">
        <f t="shared" si="15"/>
        <v>0</v>
      </c>
      <c r="H138">
        <f t="shared" si="16"/>
        <v>67</v>
      </c>
      <c r="I138">
        <f t="shared" si="16"/>
        <v>71</v>
      </c>
      <c r="J138">
        <f t="shared" si="16"/>
        <v>69</v>
      </c>
      <c r="K138">
        <f t="shared" si="12"/>
        <v>0</v>
      </c>
    </row>
    <row r="139" spans="1:11" x14ac:dyDescent="0.25">
      <c r="A139" s="13">
        <v>46068</v>
      </c>
      <c r="B139" s="10">
        <v>3242</v>
      </c>
      <c r="C139" s="11">
        <v>2627</v>
      </c>
      <c r="D139" s="12">
        <v>3838</v>
      </c>
      <c r="E139" s="18">
        <f t="shared" si="13"/>
        <v>2</v>
      </c>
      <c r="F139" s="18">
        <f t="shared" si="14"/>
        <v>0</v>
      </c>
      <c r="G139" s="18">
        <f t="shared" si="15"/>
        <v>58</v>
      </c>
      <c r="H139">
        <f t="shared" si="16"/>
        <v>54</v>
      </c>
      <c r="I139">
        <f t="shared" si="16"/>
        <v>44</v>
      </c>
      <c r="J139">
        <f t="shared" si="16"/>
        <v>63</v>
      </c>
      <c r="K139">
        <f t="shared" si="12"/>
        <v>0</v>
      </c>
    </row>
    <row r="140" spans="1:11" x14ac:dyDescent="0.25">
      <c r="A140" s="13">
        <v>46069</v>
      </c>
      <c r="B140" s="7">
        <v>3462</v>
      </c>
      <c r="C140" s="8">
        <v>4779</v>
      </c>
      <c r="D140" s="9">
        <v>4445</v>
      </c>
      <c r="E140" s="18">
        <f t="shared" si="13"/>
        <v>42</v>
      </c>
      <c r="F140" s="18">
        <f t="shared" si="14"/>
        <v>39</v>
      </c>
      <c r="G140" s="18">
        <f t="shared" si="15"/>
        <v>0</v>
      </c>
      <c r="H140">
        <f t="shared" si="16"/>
        <v>57</v>
      </c>
      <c r="I140">
        <f t="shared" si="16"/>
        <v>79</v>
      </c>
      <c r="J140">
        <f t="shared" si="16"/>
        <v>75</v>
      </c>
      <c r="K140">
        <f t="shared" si="12"/>
        <v>0</v>
      </c>
    </row>
    <row r="141" spans="1:11" x14ac:dyDescent="0.25">
      <c r="A141" s="13">
        <v>46070</v>
      </c>
      <c r="B141" s="10">
        <v>4609</v>
      </c>
      <c r="C141" s="11">
        <v>3559</v>
      </c>
      <c r="D141" s="12">
        <v>3892</v>
      </c>
      <c r="E141" s="18">
        <f t="shared" si="13"/>
        <v>0</v>
      </c>
      <c r="F141" s="18">
        <f t="shared" si="14"/>
        <v>19</v>
      </c>
      <c r="G141" s="18">
        <f t="shared" si="15"/>
        <v>52</v>
      </c>
      <c r="H141">
        <f t="shared" si="16"/>
        <v>77</v>
      </c>
      <c r="I141">
        <f t="shared" si="16"/>
        <v>59</v>
      </c>
      <c r="J141">
        <f t="shared" si="16"/>
        <v>64</v>
      </c>
      <c r="K141">
        <f t="shared" si="12"/>
        <v>0</v>
      </c>
    </row>
    <row r="142" spans="1:11" x14ac:dyDescent="0.25">
      <c r="A142" s="13">
        <v>46071</v>
      </c>
      <c r="B142" s="7">
        <v>4569</v>
      </c>
      <c r="C142" s="8">
        <v>2592</v>
      </c>
      <c r="D142" s="9">
        <v>4056</v>
      </c>
      <c r="E142" s="18">
        <f t="shared" si="13"/>
        <v>9</v>
      </c>
      <c r="F142" s="18">
        <f t="shared" si="14"/>
        <v>12</v>
      </c>
      <c r="G142" s="18">
        <f t="shared" si="15"/>
        <v>0</v>
      </c>
      <c r="H142">
        <f t="shared" si="16"/>
        <v>76</v>
      </c>
      <c r="I142">
        <f t="shared" si="16"/>
        <v>43</v>
      </c>
      <c r="J142">
        <f t="shared" si="16"/>
        <v>68</v>
      </c>
      <c r="K142">
        <f t="shared" si="12"/>
        <v>0</v>
      </c>
    </row>
    <row r="143" spans="1:11" x14ac:dyDescent="0.25">
      <c r="A143" s="13">
        <v>46072</v>
      </c>
      <c r="B143" s="10">
        <v>3112</v>
      </c>
      <c r="C143" s="11">
        <v>3121</v>
      </c>
      <c r="D143" s="12">
        <v>4435</v>
      </c>
      <c r="E143" s="18">
        <f t="shared" si="13"/>
        <v>0</v>
      </c>
      <c r="F143" s="18">
        <f t="shared" si="14"/>
        <v>1</v>
      </c>
      <c r="G143" s="18">
        <f t="shared" si="15"/>
        <v>55</v>
      </c>
      <c r="H143">
        <f t="shared" si="16"/>
        <v>52</v>
      </c>
      <c r="I143">
        <f t="shared" si="16"/>
        <v>52</v>
      </c>
      <c r="J143">
        <f t="shared" si="16"/>
        <v>73</v>
      </c>
      <c r="K143">
        <f t="shared" si="12"/>
        <v>0</v>
      </c>
    </row>
    <row r="144" spans="1:11" x14ac:dyDescent="0.25">
      <c r="A144" s="13">
        <v>46073</v>
      </c>
      <c r="B144" s="7">
        <v>3723</v>
      </c>
      <c r="C144" s="8">
        <v>4515</v>
      </c>
      <c r="D144" s="9">
        <v>4353</v>
      </c>
      <c r="E144" s="18">
        <f t="shared" si="13"/>
        <v>3</v>
      </c>
      <c r="F144" s="18">
        <f t="shared" si="14"/>
        <v>15</v>
      </c>
      <c r="G144" s="18">
        <f t="shared" si="15"/>
        <v>0</v>
      </c>
      <c r="H144">
        <f t="shared" si="16"/>
        <v>62</v>
      </c>
      <c r="I144">
        <f t="shared" si="16"/>
        <v>75</v>
      </c>
      <c r="J144">
        <f t="shared" si="16"/>
        <v>73</v>
      </c>
      <c r="K144">
        <f t="shared" si="12"/>
        <v>0</v>
      </c>
    </row>
    <row r="145" spans="1:11" x14ac:dyDescent="0.25">
      <c r="A145" s="13">
        <v>46074</v>
      </c>
      <c r="B145" s="10">
        <v>3787</v>
      </c>
      <c r="C145" s="11">
        <v>4484</v>
      </c>
      <c r="D145" s="12">
        <v>3867</v>
      </c>
      <c r="E145" s="18">
        <f t="shared" si="13"/>
        <v>7</v>
      </c>
      <c r="F145" s="18">
        <f t="shared" si="14"/>
        <v>44</v>
      </c>
      <c r="G145" s="18">
        <f t="shared" si="15"/>
        <v>27</v>
      </c>
      <c r="H145">
        <f t="shared" si="16"/>
        <v>63</v>
      </c>
      <c r="I145">
        <f t="shared" si="16"/>
        <v>74</v>
      </c>
      <c r="J145">
        <f t="shared" si="16"/>
        <v>64</v>
      </c>
      <c r="K145">
        <f t="shared" si="12"/>
        <v>0</v>
      </c>
    </row>
    <row r="146" spans="1:11" x14ac:dyDescent="0.25">
      <c r="A146" s="13">
        <v>46075</v>
      </c>
      <c r="B146" s="7">
        <v>4927</v>
      </c>
      <c r="C146" s="8">
        <v>3405</v>
      </c>
      <c r="D146" s="9">
        <v>4289</v>
      </c>
      <c r="E146" s="18">
        <f t="shared" si="13"/>
        <v>7</v>
      </c>
      <c r="F146" s="18">
        <f t="shared" si="14"/>
        <v>0</v>
      </c>
      <c r="G146" s="18">
        <f t="shared" si="15"/>
        <v>29</v>
      </c>
      <c r="H146">
        <f t="shared" si="16"/>
        <v>82</v>
      </c>
      <c r="I146">
        <f t="shared" si="16"/>
        <v>57</v>
      </c>
      <c r="J146">
        <f t="shared" si="16"/>
        <v>71</v>
      </c>
      <c r="K146">
        <f t="shared" si="12"/>
        <v>0</v>
      </c>
    </row>
    <row r="147" spans="1:11" x14ac:dyDescent="0.25">
      <c r="A147" s="13">
        <v>46076</v>
      </c>
      <c r="B147" s="10">
        <v>4555</v>
      </c>
      <c r="C147" s="11">
        <v>4814</v>
      </c>
      <c r="D147" s="12">
        <v>4125</v>
      </c>
      <c r="E147" s="18">
        <f t="shared" si="13"/>
        <v>0</v>
      </c>
      <c r="F147" s="18">
        <f t="shared" si="14"/>
        <v>14</v>
      </c>
      <c r="G147" s="18">
        <f t="shared" si="15"/>
        <v>0</v>
      </c>
      <c r="H147">
        <f t="shared" si="16"/>
        <v>76</v>
      </c>
      <c r="I147">
        <f t="shared" si="16"/>
        <v>80</v>
      </c>
      <c r="J147">
        <f t="shared" si="16"/>
        <v>69</v>
      </c>
      <c r="K147">
        <f t="shared" si="12"/>
        <v>0</v>
      </c>
    </row>
    <row r="148" spans="1:11" x14ac:dyDescent="0.25">
      <c r="A148" s="13">
        <v>46077</v>
      </c>
      <c r="B148" s="7">
        <v>4205</v>
      </c>
      <c r="C148" s="8">
        <v>4148</v>
      </c>
      <c r="D148" s="9">
        <v>3519</v>
      </c>
      <c r="E148" s="18">
        <f t="shared" si="13"/>
        <v>5</v>
      </c>
      <c r="F148" s="18">
        <f t="shared" si="14"/>
        <v>8</v>
      </c>
      <c r="G148" s="18">
        <f t="shared" si="15"/>
        <v>39</v>
      </c>
      <c r="H148">
        <f t="shared" si="16"/>
        <v>70</v>
      </c>
      <c r="I148">
        <f t="shared" si="16"/>
        <v>69</v>
      </c>
      <c r="J148">
        <f t="shared" si="16"/>
        <v>58</v>
      </c>
      <c r="K148">
        <f t="shared" si="12"/>
        <v>0</v>
      </c>
    </row>
    <row r="149" spans="1:11" x14ac:dyDescent="0.25">
      <c r="A149" s="13">
        <v>46078</v>
      </c>
      <c r="B149" s="10">
        <v>4770</v>
      </c>
      <c r="C149" s="11">
        <v>4280</v>
      </c>
      <c r="D149" s="12">
        <v>3718</v>
      </c>
      <c r="E149" s="18">
        <f t="shared" si="13"/>
        <v>30</v>
      </c>
      <c r="F149" s="18">
        <f t="shared" si="14"/>
        <v>20</v>
      </c>
      <c r="G149" s="18">
        <f t="shared" si="15"/>
        <v>0</v>
      </c>
      <c r="H149">
        <f t="shared" si="16"/>
        <v>79</v>
      </c>
      <c r="I149">
        <f t="shared" si="16"/>
        <v>71</v>
      </c>
      <c r="J149">
        <f t="shared" si="16"/>
        <v>62</v>
      </c>
      <c r="K149">
        <f t="shared" si="12"/>
        <v>0</v>
      </c>
    </row>
    <row r="150" spans="1:11" x14ac:dyDescent="0.25">
      <c r="A150" s="13">
        <v>46079</v>
      </c>
      <c r="B150" s="7">
        <v>3094</v>
      </c>
      <c r="C150" s="8">
        <v>2813</v>
      </c>
      <c r="D150" s="9">
        <v>4238</v>
      </c>
      <c r="E150" s="18">
        <f t="shared" si="13"/>
        <v>0</v>
      </c>
      <c r="F150" s="18">
        <f t="shared" si="14"/>
        <v>0</v>
      </c>
      <c r="G150" s="18">
        <f t="shared" si="15"/>
        <v>38</v>
      </c>
      <c r="H150">
        <f t="shared" si="16"/>
        <v>52</v>
      </c>
      <c r="I150">
        <f t="shared" si="16"/>
        <v>47</v>
      </c>
      <c r="J150">
        <f t="shared" si="16"/>
        <v>70</v>
      </c>
      <c r="K150">
        <f t="shared" si="12"/>
        <v>0</v>
      </c>
    </row>
    <row r="151" spans="1:11" x14ac:dyDescent="0.25">
      <c r="A151" s="13">
        <v>46080</v>
      </c>
      <c r="B151" s="10">
        <v>3193</v>
      </c>
      <c r="C151" s="11">
        <v>2618</v>
      </c>
      <c r="D151" s="12">
        <v>4263</v>
      </c>
      <c r="E151" s="18">
        <f t="shared" si="13"/>
        <v>13</v>
      </c>
      <c r="F151" s="18">
        <f t="shared" si="14"/>
        <v>38</v>
      </c>
      <c r="G151" s="18">
        <f t="shared" si="15"/>
        <v>3</v>
      </c>
      <c r="H151">
        <f t="shared" si="16"/>
        <v>53</v>
      </c>
      <c r="I151">
        <f t="shared" si="16"/>
        <v>43</v>
      </c>
      <c r="J151">
        <f t="shared" si="16"/>
        <v>71</v>
      </c>
      <c r="K151">
        <f t="shared" si="12"/>
        <v>0</v>
      </c>
    </row>
    <row r="152" spans="1:11" x14ac:dyDescent="0.25">
      <c r="A152" s="13">
        <v>46081</v>
      </c>
      <c r="B152" s="7">
        <v>4267</v>
      </c>
      <c r="C152" s="8">
        <v>2516</v>
      </c>
      <c r="D152" s="9">
        <v>4103</v>
      </c>
      <c r="E152" s="18">
        <f t="shared" si="13"/>
        <v>7</v>
      </c>
      <c r="F152" s="18">
        <f t="shared" si="14"/>
        <v>0</v>
      </c>
      <c r="G152" s="18">
        <f t="shared" si="15"/>
        <v>23</v>
      </c>
      <c r="H152">
        <f t="shared" si="16"/>
        <v>71</v>
      </c>
      <c r="I152">
        <f t="shared" si="16"/>
        <v>42</v>
      </c>
      <c r="J152">
        <f t="shared" si="16"/>
        <v>68</v>
      </c>
      <c r="K152">
        <f t="shared" si="12"/>
        <v>0</v>
      </c>
    </row>
    <row r="153" spans="1:11" x14ac:dyDescent="0.25">
      <c r="A153" s="13">
        <v>46082</v>
      </c>
      <c r="B153" s="10">
        <v>4436</v>
      </c>
      <c r="C153" s="11">
        <v>3240</v>
      </c>
      <c r="D153" s="12">
        <v>3966</v>
      </c>
      <c r="E153" s="18">
        <f t="shared" si="13"/>
        <v>0</v>
      </c>
      <c r="F153" s="18">
        <f t="shared" si="14"/>
        <v>0</v>
      </c>
      <c r="G153" s="18">
        <f t="shared" si="15"/>
        <v>6</v>
      </c>
      <c r="H153">
        <f t="shared" si="16"/>
        <v>74</v>
      </c>
      <c r="I153">
        <f t="shared" si="16"/>
        <v>54</v>
      </c>
      <c r="J153">
        <f t="shared" si="16"/>
        <v>66</v>
      </c>
      <c r="K153">
        <f t="shared" si="12"/>
        <v>0</v>
      </c>
    </row>
    <row r="154" spans="1:11" x14ac:dyDescent="0.25">
      <c r="A154" s="13">
        <v>46083</v>
      </c>
      <c r="B154" s="7">
        <v>4542</v>
      </c>
      <c r="C154" s="8">
        <v>2622</v>
      </c>
      <c r="D154" s="9">
        <v>4455</v>
      </c>
      <c r="E154" s="18">
        <f t="shared" si="13"/>
        <v>42</v>
      </c>
      <c r="F154" s="18">
        <f t="shared" si="14"/>
        <v>42</v>
      </c>
      <c r="G154" s="18">
        <f t="shared" si="15"/>
        <v>15</v>
      </c>
      <c r="H154">
        <f t="shared" si="16"/>
        <v>75</v>
      </c>
      <c r="I154">
        <f t="shared" si="16"/>
        <v>43</v>
      </c>
      <c r="J154">
        <f t="shared" si="16"/>
        <v>74</v>
      </c>
      <c r="K154">
        <f t="shared" si="12"/>
        <v>0</v>
      </c>
    </row>
    <row r="155" spans="1:11" x14ac:dyDescent="0.25">
      <c r="A155" s="13">
        <v>46084</v>
      </c>
      <c r="B155" s="10">
        <v>3141</v>
      </c>
      <c r="C155" s="11">
        <v>4108</v>
      </c>
      <c r="D155" s="12">
        <v>4415</v>
      </c>
      <c r="E155" s="18">
        <f t="shared" si="13"/>
        <v>0</v>
      </c>
      <c r="F155" s="18">
        <f t="shared" si="14"/>
        <v>0</v>
      </c>
      <c r="G155" s="18">
        <f t="shared" si="15"/>
        <v>35</v>
      </c>
      <c r="H155">
        <f t="shared" si="16"/>
        <v>53</v>
      </c>
      <c r="I155">
        <f t="shared" si="16"/>
        <v>69</v>
      </c>
      <c r="J155">
        <f t="shared" si="16"/>
        <v>73</v>
      </c>
      <c r="K155">
        <f t="shared" si="12"/>
        <v>0</v>
      </c>
    </row>
    <row r="156" spans="1:11" x14ac:dyDescent="0.25">
      <c r="A156" s="13">
        <v>46085</v>
      </c>
      <c r="B156" s="7">
        <v>4627</v>
      </c>
      <c r="C156" s="8">
        <v>2731</v>
      </c>
      <c r="D156" s="9">
        <v>4065</v>
      </c>
      <c r="E156" s="18">
        <f t="shared" si="13"/>
        <v>7</v>
      </c>
      <c r="F156" s="18">
        <f t="shared" si="14"/>
        <v>31</v>
      </c>
      <c r="G156" s="18">
        <f t="shared" si="15"/>
        <v>0</v>
      </c>
      <c r="H156">
        <f t="shared" si="16"/>
        <v>77</v>
      </c>
      <c r="I156">
        <f t="shared" si="16"/>
        <v>45</v>
      </c>
      <c r="J156">
        <f t="shared" si="16"/>
        <v>68</v>
      </c>
      <c r="K156">
        <f t="shared" si="12"/>
        <v>0</v>
      </c>
    </row>
    <row r="157" spans="1:11" x14ac:dyDescent="0.25">
      <c r="A157" s="13">
        <v>46086</v>
      </c>
      <c r="B157" s="10">
        <v>4379</v>
      </c>
      <c r="C157" s="11">
        <v>2834</v>
      </c>
      <c r="D157" s="12">
        <v>4338</v>
      </c>
      <c r="E157" s="18">
        <f t="shared" si="13"/>
        <v>0</v>
      </c>
      <c r="F157" s="18">
        <f t="shared" si="14"/>
        <v>14</v>
      </c>
      <c r="G157" s="18">
        <f t="shared" si="15"/>
        <v>18</v>
      </c>
      <c r="H157">
        <f t="shared" si="16"/>
        <v>73</v>
      </c>
      <c r="I157">
        <f t="shared" si="16"/>
        <v>47</v>
      </c>
      <c r="J157">
        <f t="shared" si="16"/>
        <v>72</v>
      </c>
      <c r="K157">
        <f t="shared" si="12"/>
        <v>0</v>
      </c>
    </row>
    <row r="158" spans="1:11" x14ac:dyDescent="0.25">
      <c r="A158" s="13">
        <v>46087</v>
      </c>
      <c r="B158" s="7">
        <v>4860</v>
      </c>
      <c r="C158" s="8">
        <v>4815</v>
      </c>
      <c r="D158" s="9">
        <v>3693</v>
      </c>
      <c r="E158" s="18">
        <f t="shared" si="13"/>
        <v>0</v>
      </c>
      <c r="F158" s="18">
        <f t="shared" si="14"/>
        <v>15</v>
      </c>
      <c r="G158" s="18">
        <f t="shared" si="15"/>
        <v>33</v>
      </c>
      <c r="H158">
        <f t="shared" si="16"/>
        <v>81</v>
      </c>
      <c r="I158">
        <f t="shared" si="16"/>
        <v>80</v>
      </c>
      <c r="J158">
        <f t="shared" si="16"/>
        <v>61</v>
      </c>
      <c r="K158">
        <f t="shared" si="12"/>
        <v>0</v>
      </c>
    </row>
    <row r="159" spans="1:11" x14ac:dyDescent="0.25">
      <c r="A159" s="13">
        <v>46088</v>
      </c>
      <c r="B159" s="10">
        <v>4558</v>
      </c>
      <c r="C159" s="11">
        <v>2729</v>
      </c>
      <c r="D159" s="12">
        <v>3558</v>
      </c>
      <c r="E159" s="18">
        <f t="shared" si="13"/>
        <v>58</v>
      </c>
      <c r="F159" s="18">
        <f t="shared" si="14"/>
        <v>29</v>
      </c>
      <c r="G159" s="18">
        <f t="shared" si="15"/>
        <v>18</v>
      </c>
      <c r="H159">
        <f t="shared" si="16"/>
        <v>75</v>
      </c>
      <c r="I159">
        <f t="shared" si="16"/>
        <v>45</v>
      </c>
      <c r="J159">
        <f t="shared" si="16"/>
        <v>59</v>
      </c>
      <c r="K159">
        <f t="shared" si="12"/>
        <v>0</v>
      </c>
    </row>
    <row r="160" spans="1:11" x14ac:dyDescent="0.25">
      <c r="A160" s="13">
        <v>46089</v>
      </c>
      <c r="B160" s="7">
        <v>4818</v>
      </c>
      <c r="C160" s="8">
        <v>4126</v>
      </c>
      <c r="D160" s="9">
        <v>4477</v>
      </c>
      <c r="E160" s="18">
        <f t="shared" si="13"/>
        <v>0</v>
      </c>
      <c r="F160" s="18">
        <f t="shared" si="14"/>
        <v>0</v>
      </c>
      <c r="G160" s="18">
        <f t="shared" si="15"/>
        <v>37</v>
      </c>
      <c r="H160">
        <f t="shared" si="16"/>
        <v>81</v>
      </c>
      <c r="I160">
        <f t="shared" si="16"/>
        <v>69</v>
      </c>
      <c r="J160">
        <f t="shared" si="16"/>
        <v>74</v>
      </c>
      <c r="K160">
        <f t="shared" si="12"/>
        <v>0</v>
      </c>
    </row>
    <row r="161" spans="1:11" x14ac:dyDescent="0.25">
      <c r="A161" s="13">
        <v>46090</v>
      </c>
      <c r="B161" s="10">
        <v>4873</v>
      </c>
      <c r="C161" s="11">
        <v>3127</v>
      </c>
      <c r="D161" s="12">
        <v>4321</v>
      </c>
      <c r="E161" s="18">
        <f t="shared" si="13"/>
        <v>13</v>
      </c>
      <c r="F161" s="18">
        <f t="shared" si="14"/>
        <v>7</v>
      </c>
      <c r="G161" s="18">
        <f t="shared" si="15"/>
        <v>1</v>
      </c>
      <c r="H161">
        <f t="shared" si="16"/>
        <v>81</v>
      </c>
      <c r="I161">
        <f t="shared" si="16"/>
        <v>52</v>
      </c>
      <c r="J161">
        <f t="shared" si="16"/>
        <v>72</v>
      </c>
      <c r="K161">
        <f t="shared" si="12"/>
        <v>0</v>
      </c>
    </row>
    <row r="162" spans="1:11" x14ac:dyDescent="0.25">
      <c r="A162" s="13">
        <v>46091</v>
      </c>
      <c r="B162" s="7">
        <v>3002</v>
      </c>
      <c r="C162" s="8">
        <v>2612</v>
      </c>
      <c r="D162" s="9">
        <v>3901</v>
      </c>
      <c r="E162" s="18">
        <f t="shared" si="13"/>
        <v>2</v>
      </c>
      <c r="F162" s="18">
        <f t="shared" si="14"/>
        <v>32</v>
      </c>
      <c r="G162" s="18">
        <f t="shared" si="15"/>
        <v>1</v>
      </c>
      <c r="H162">
        <f t="shared" si="16"/>
        <v>50</v>
      </c>
      <c r="I162">
        <f t="shared" si="16"/>
        <v>43</v>
      </c>
      <c r="J162">
        <f t="shared" si="16"/>
        <v>65</v>
      </c>
      <c r="K162">
        <f t="shared" si="12"/>
        <v>0</v>
      </c>
    </row>
    <row r="163" spans="1:11" x14ac:dyDescent="0.25">
      <c r="A163" s="13">
        <v>46092</v>
      </c>
      <c r="B163" s="10">
        <v>4003</v>
      </c>
      <c r="C163" s="11">
        <v>3600</v>
      </c>
      <c r="D163" s="12">
        <v>3647</v>
      </c>
      <c r="E163" s="18">
        <f t="shared" si="13"/>
        <v>43</v>
      </c>
      <c r="F163" s="18">
        <f t="shared" si="14"/>
        <v>0</v>
      </c>
      <c r="G163" s="18">
        <f t="shared" si="15"/>
        <v>47</v>
      </c>
      <c r="H163">
        <f t="shared" si="16"/>
        <v>66</v>
      </c>
      <c r="I163">
        <f t="shared" si="16"/>
        <v>60</v>
      </c>
      <c r="J163">
        <f t="shared" si="16"/>
        <v>60</v>
      </c>
      <c r="K163">
        <f t="shared" si="12"/>
        <v>0</v>
      </c>
    </row>
    <row r="164" spans="1:11" x14ac:dyDescent="0.25">
      <c r="A164" s="13">
        <v>46093</v>
      </c>
      <c r="B164" s="7">
        <v>3601</v>
      </c>
      <c r="C164" s="8">
        <v>3048</v>
      </c>
      <c r="D164" s="9">
        <v>4215</v>
      </c>
      <c r="E164" s="18">
        <f t="shared" si="13"/>
        <v>1</v>
      </c>
      <c r="F164" s="18">
        <f t="shared" si="14"/>
        <v>48</v>
      </c>
      <c r="G164" s="18">
        <f t="shared" si="15"/>
        <v>0</v>
      </c>
      <c r="H164">
        <f t="shared" si="16"/>
        <v>60</v>
      </c>
      <c r="I164">
        <f t="shared" si="16"/>
        <v>50</v>
      </c>
      <c r="J164">
        <f t="shared" si="16"/>
        <v>71</v>
      </c>
      <c r="K164">
        <f t="shared" si="12"/>
        <v>0</v>
      </c>
    </row>
    <row r="165" spans="1:11" x14ac:dyDescent="0.25">
      <c r="A165" s="13">
        <v>46094</v>
      </c>
      <c r="B165" s="10">
        <v>3733</v>
      </c>
      <c r="C165" s="11">
        <v>2847</v>
      </c>
      <c r="D165" s="12">
        <v>3617</v>
      </c>
      <c r="E165" s="18">
        <f t="shared" si="13"/>
        <v>13</v>
      </c>
      <c r="F165" s="18">
        <f t="shared" si="14"/>
        <v>0</v>
      </c>
      <c r="G165" s="18">
        <f t="shared" si="15"/>
        <v>17</v>
      </c>
      <c r="H165">
        <f t="shared" si="16"/>
        <v>62</v>
      </c>
      <c r="I165">
        <f t="shared" si="16"/>
        <v>48</v>
      </c>
      <c r="J165">
        <f t="shared" si="16"/>
        <v>60</v>
      </c>
      <c r="K165">
        <f t="shared" si="12"/>
        <v>0</v>
      </c>
    </row>
    <row r="166" spans="1:11" x14ac:dyDescent="0.25">
      <c r="A166" s="13">
        <v>46095</v>
      </c>
      <c r="B166" s="7">
        <v>3930</v>
      </c>
      <c r="C166" s="8">
        <v>2588</v>
      </c>
      <c r="D166" s="9">
        <v>3680</v>
      </c>
      <c r="E166" s="18">
        <f t="shared" si="13"/>
        <v>30</v>
      </c>
      <c r="F166" s="18">
        <f t="shared" si="14"/>
        <v>8</v>
      </c>
      <c r="G166" s="18">
        <f t="shared" si="15"/>
        <v>20</v>
      </c>
      <c r="H166">
        <f t="shared" si="16"/>
        <v>65</v>
      </c>
      <c r="I166">
        <f t="shared" si="16"/>
        <v>43</v>
      </c>
      <c r="J166">
        <f t="shared" si="16"/>
        <v>61</v>
      </c>
      <c r="K166">
        <f t="shared" si="12"/>
        <v>0</v>
      </c>
    </row>
    <row r="167" spans="1:11" x14ac:dyDescent="0.25">
      <c r="A167" s="13">
        <v>46096</v>
      </c>
      <c r="B167" s="10">
        <v>3423</v>
      </c>
      <c r="C167" s="11">
        <v>3459</v>
      </c>
      <c r="D167" s="12">
        <v>4045</v>
      </c>
      <c r="E167" s="18">
        <f t="shared" si="13"/>
        <v>3</v>
      </c>
      <c r="F167" s="18">
        <f t="shared" si="14"/>
        <v>39</v>
      </c>
      <c r="G167" s="18">
        <f t="shared" si="15"/>
        <v>25</v>
      </c>
      <c r="H167">
        <f t="shared" si="16"/>
        <v>57</v>
      </c>
      <c r="I167">
        <f t="shared" si="16"/>
        <v>57</v>
      </c>
      <c r="J167">
        <f t="shared" si="16"/>
        <v>67</v>
      </c>
      <c r="K167">
        <f t="shared" si="12"/>
        <v>0</v>
      </c>
    </row>
    <row r="168" spans="1:11" x14ac:dyDescent="0.25">
      <c r="A168" s="13">
        <v>46097</v>
      </c>
      <c r="B168" s="7">
        <v>4757</v>
      </c>
      <c r="C168" s="8">
        <v>4489</v>
      </c>
      <c r="D168" s="9">
        <v>3724</v>
      </c>
      <c r="E168" s="18">
        <f t="shared" si="13"/>
        <v>17</v>
      </c>
      <c r="F168" s="18">
        <f t="shared" si="14"/>
        <v>0</v>
      </c>
      <c r="G168" s="18">
        <f t="shared" si="15"/>
        <v>4</v>
      </c>
      <c r="H168">
        <f t="shared" si="16"/>
        <v>79</v>
      </c>
      <c r="I168">
        <f t="shared" si="16"/>
        <v>75</v>
      </c>
      <c r="J168">
        <f t="shared" si="16"/>
        <v>62</v>
      </c>
      <c r="K168">
        <f t="shared" si="12"/>
        <v>0</v>
      </c>
    </row>
    <row r="169" spans="1:11" x14ac:dyDescent="0.25">
      <c r="A169" s="13">
        <v>46098</v>
      </c>
      <c r="B169" s="10">
        <v>3712</v>
      </c>
      <c r="C169" s="11">
        <v>3899</v>
      </c>
      <c r="D169" s="12">
        <v>4461</v>
      </c>
      <c r="E169" s="18">
        <f t="shared" si="13"/>
        <v>0</v>
      </c>
      <c r="F169" s="18">
        <f t="shared" si="14"/>
        <v>59</v>
      </c>
      <c r="G169" s="18">
        <f t="shared" si="15"/>
        <v>21</v>
      </c>
      <c r="H169">
        <f t="shared" si="16"/>
        <v>62</v>
      </c>
      <c r="I169">
        <f t="shared" si="16"/>
        <v>64</v>
      </c>
      <c r="J169">
        <f t="shared" si="16"/>
        <v>74</v>
      </c>
      <c r="K169">
        <f t="shared" si="12"/>
        <v>0</v>
      </c>
    </row>
    <row r="170" spans="1:11" x14ac:dyDescent="0.25">
      <c r="A170" s="13">
        <v>46099</v>
      </c>
      <c r="B170" s="7">
        <v>4869</v>
      </c>
      <c r="C170" s="8">
        <v>4425</v>
      </c>
      <c r="D170" s="9">
        <v>4113</v>
      </c>
      <c r="E170" s="18">
        <f t="shared" si="13"/>
        <v>9</v>
      </c>
      <c r="F170" s="18">
        <f t="shared" si="14"/>
        <v>0</v>
      </c>
      <c r="G170" s="18">
        <f t="shared" si="15"/>
        <v>33</v>
      </c>
      <c r="H170">
        <f t="shared" si="16"/>
        <v>81</v>
      </c>
      <c r="I170">
        <f t="shared" si="16"/>
        <v>74</v>
      </c>
      <c r="J170">
        <f t="shared" si="16"/>
        <v>68</v>
      </c>
      <c r="K170">
        <f t="shared" si="12"/>
        <v>0</v>
      </c>
    </row>
    <row r="171" spans="1:11" x14ac:dyDescent="0.25">
      <c r="A171" s="13">
        <v>46100</v>
      </c>
      <c r="B171" s="10">
        <v>4292</v>
      </c>
      <c r="C171" s="11">
        <v>3011</v>
      </c>
      <c r="D171" s="12">
        <v>3601</v>
      </c>
      <c r="E171" s="18">
        <f t="shared" si="13"/>
        <v>32</v>
      </c>
      <c r="F171" s="18">
        <f t="shared" si="14"/>
        <v>11</v>
      </c>
      <c r="G171" s="18">
        <f t="shared" si="15"/>
        <v>1</v>
      </c>
      <c r="H171">
        <f t="shared" si="16"/>
        <v>71</v>
      </c>
      <c r="I171">
        <f t="shared" si="16"/>
        <v>50</v>
      </c>
      <c r="J171">
        <f t="shared" si="16"/>
        <v>60</v>
      </c>
      <c r="K171">
        <f t="shared" si="12"/>
        <v>0</v>
      </c>
    </row>
    <row r="172" spans="1:11" x14ac:dyDescent="0.25">
      <c r="A172" s="13">
        <v>46101</v>
      </c>
      <c r="B172" s="7">
        <v>3522</v>
      </c>
      <c r="C172" s="8">
        <v>2877</v>
      </c>
      <c r="D172" s="9">
        <v>3857</v>
      </c>
      <c r="E172" s="18">
        <f t="shared" si="13"/>
        <v>0</v>
      </c>
      <c r="F172" s="18">
        <f t="shared" si="14"/>
        <v>0</v>
      </c>
      <c r="G172" s="18">
        <f t="shared" si="15"/>
        <v>17</v>
      </c>
      <c r="H172">
        <f t="shared" si="16"/>
        <v>59</v>
      </c>
      <c r="I172">
        <f t="shared" si="16"/>
        <v>48</v>
      </c>
      <c r="J172">
        <f t="shared" si="16"/>
        <v>64</v>
      </c>
      <c r="K172">
        <f t="shared" si="12"/>
        <v>0</v>
      </c>
    </row>
    <row r="173" spans="1:11" x14ac:dyDescent="0.25">
      <c r="A173" s="13">
        <v>46102</v>
      </c>
      <c r="B173" s="10">
        <v>4008</v>
      </c>
      <c r="C173" s="11">
        <v>3368</v>
      </c>
      <c r="D173" s="12">
        <v>4183</v>
      </c>
      <c r="E173" s="18">
        <f t="shared" si="13"/>
        <v>48</v>
      </c>
      <c r="F173" s="18">
        <f t="shared" si="14"/>
        <v>8</v>
      </c>
      <c r="G173" s="18">
        <f t="shared" si="15"/>
        <v>0</v>
      </c>
      <c r="H173">
        <f t="shared" si="16"/>
        <v>66</v>
      </c>
      <c r="I173">
        <f t="shared" si="16"/>
        <v>56</v>
      </c>
      <c r="J173">
        <f t="shared" si="16"/>
        <v>70</v>
      </c>
      <c r="K173">
        <f t="shared" si="12"/>
        <v>0</v>
      </c>
    </row>
    <row r="174" spans="1:11" x14ac:dyDescent="0.25">
      <c r="A174" s="13">
        <v>46103</v>
      </c>
      <c r="B174" s="7">
        <v>3351</v>
      </c>
      <c r="C174" s="8">
        <v>3838</v>
      </c>
      <c r="D174" s="9">
        <v>4400</v>
      </c>
      <c r="E174" s="18">
        <f t="shared" si="13"/>
        <v>0</v>
      </c>
      <c r="F174" s="18">
        <f t="shared" si="14"/>
        <v>0</v>
      </c>
      <c r="G174" s="18">
        <f t="shared" si="15"/>
        <v>20</v>
      </c>
      <c r="H174">
        <f t="shared" si="16"/>
        <v>56</v>
      </c>
      <c r="I174">
        <f t="shared" si="16"/>
        <v>64</v>
      </c>
      <c r="J174">
        <f t="shared" si="16"/>
        <v>73</v>
      </c>
      <c r="K174">
        <f t="shared" si="12"/>
        <v>0</v>
      </c>
    </row>
    <row r="175" spans="1:11" x14ac:dyDescent="0.25">
      <c r="A175" s="13">
        <v>46104</v>
      </c>
      <c r="B175" s="10">
        <v>4580</v>
      </c>
      <c r="C175" s="11">
        <v>3097</v>
      </c>
      <c r="D175" s="12">
        <v>4102</v>
      </c>
      <c r="E175" s="18">
        <f t="shared" si="13"/>
        <v>20</v>
      </c>
      <c r="F175" s="18">
        <f t="shared" si="14"/>
        <v>37</v>
      </c>
      <c r="G175" s="18">
        <f t="shared" si="15"/>
        <v>22</v>
      </c>
      <c r="H175">
        <f t="shared" si="16"/>
        <v>76</v>
      </c>
      <c r="I175">
        <f t="shared" si="16"/>
        <v>51</v>
      </c>
      <c r="J175">
        <f t="shared" si="16"/>
        <v>68</v>
      </c>
      <c r="K175">
        <f t="shared" si="12"/>
        <v>0</v>
      </c>
    </row>
    <row r="176" spans="1:11" x14ac:dyDescent="0.25">
      <c r="A176" s="13">
        <v>46105</v>
      </c>
      <c r="B176" s="7">
        <v>3829</v>
      </c>
      <c r="C176" s="8">
        <v>3345</v>
      </c>
      <c r="D176" s="9">
        <v>3987</v>
      </c>
      <c r="E176" s="18">
        <f t="shared" si="13"/>
        <v>0</v>
      </c>
      <c r="F176" s="18">
        <f t="shared" si="14"/>
        <v>0</v>
      </c>
      <c r="G176" s="18">
        <f t="shared" si="15"/>
        <v>27</v>
      </c>
      <c r="H176">
        <f t="shared" si="16"/>
        <v>64</v>
      </c>
      <c r="I176">
        <f t="shared" si="16"/>
        <v>56</v>
      </c>
      <c r="J176">
        <f t="shared" si="16"/>
        <v>66</v>
      </c>
      <c r="K176">
        <f t="shared" si="12"/>
        <v>0</v>
      </c>
    </row>
    <row r="177" spans="1:11" x14ac:dyDescent="0.25">
      <c r="A177" s="13">
        <v>46106</v>
      </c>
      <c r="B177" s="10">
        <v>3744</v>
      </c>
      <c r="C177" s="11">
        <v>4433</v>
      </c>
      <c r="D177" s="12">
        <v>3926</v>
      </c>
      <c r="E177" s="18">
        <f t="shared" si="13"/>
        <v>24</v>
      </c>
      <c r="F177" s="18">
        <f t="shared" si="14"/>
        <v>53</v>
      </c>
      <c r="G177" s="18">
        <f t="shared" si="15"/>
        <v>26</v>
      </c>
      <c r="H177">
        <f t="shared" si="16"/>
        <v>62</v>
      </c>
      <c r="I177">
        <f t="shared" si="16"/>
        <v>73</v>
      </c>
      <c r="J177">
        <f t="shared" si="16"/>
        <v>65</v>
      </c>
      <c r="K177">
        <f t="shared" si="12"/>
        <v>0</v>
      </c>
    </row>
    <row r="178" spans="1:11" x14ac:dyDescent="0.25">
      <c r="A178" s="13">
        <v>46107</v>
      </c>
      <c r="B178" s="7">
        <v>4501</v>
      </c>
      <c r="C178" s="8">
        <v>4285</v>
      </c>
      <c r="D178" s="9">
        <v>3619</v>
      </c>
      <c r="E178" s="18">
        <f t="shared" si="13"/>
        <v>1</v>
      </c>
      <c r="F178" s="18">
        <f t="shared" si="14"/>
        <v>0</v>
      </c>
      <c r="G178" s="18">
        <f t="shared" si="15"/>
        <v>19</v>
      </c>
      <c r="H178">
        <f t="shared" si="16"/>
        <v>75</v>
      </c>
      <c r="I178">
        <f t="shared" si="16"/>
        <v>72</v>
      </c>
      <c r="J178">
        <f t="shared" si="16"/>
        <v>60</v>
      </c>
      <c r="K178">
        <f t="shared" si="12"/>
        <v>0</v>
      </c>
    </row>
    <row r="179" spans="1:11" x14ac:dyDescent="0.25">
      <c r="A179" s="13">
        <v>46108</v>
      </c>
      <c r="B179" s="10">
        <v>4726</v>
      </c>
      <c r="C179" s="11">
        <v>3226</v>
      </c>
      <c r="D179" s="12">
        <v>4435</v>
      </c>
      <c r="E179" s="18">
        <f t="shared" si="13"/>
        <v>46</v>
      </c>
      <c r="F179" s="18">
        <f t="shared" si="14"/>
        <v>46</v>
      </c>
      <c r="G179" s="18">
        <f t="shared" si="15"/>
        <v>0</v>
      </c>
      <c r="H179">
        <f t="shared" si="16"/>
        <v>78</v>
      </c>
      <c r="I179">
        <f t="shared" si="16"/>
        <v>53</v>
      </c>
      <c r="J179">
        <f t="shared" si="16"/>
        <v>74</v>
      </c>
      <c r="K179">
        <f t="shared" si="12"/>
        <v>0</v>
      </c>
    </row>
    <row r="180" spans="1:11" x14ac:dyDescent="0.25">
      <c r="A180" s="13">
        <v>46109</v>
      </c>
      <c r="B180" s="7">
        <v>3730</v>
      </c>
      <c r="C180" s="8">
        <v>4461</v>
      </c>
      <c r="D180" s="9">
        <v>4298</v>
      </c>
      <c r="E180" s="18">
        <f t="shared" si="13"/>
        <v>10</v>
      </c>
      <c r="F180" s="18">
        <f t="shared" si="14"/>
        <v>0</v>
      </c>
      <c r="G180" s="18">
        <f t="shared" si="15"/>
        <v>38</v>
      </c>
      <c r="H180">
        <f t="shared" si="16"/>
        <v>62</v>
      </c>
      <c r="I180">
        <f t="shared" si="16"/>
        <v>75</v>
      </c>
      <c r="J180">
        <f t="shared" si="16"/>
        <v>71</v>
      </c>
      <c r="K180">
        <f t="shared" si="12"/>
        <v>0</v>
      </c>
    </row>
    <row r="181" spans="1:11" x14ac:dyDescent="0.25">
      <c r="A181" s="13">
        <v>46110</v>
      </c>
      <c r="B181" s="10">
        <v>3956</v>
      </c>
      <c r="C181" s="11">
        <v>3914</v>
      </c>
      <c r="D181" s="12">
        <v>3766</v>
      </c>
      <c r="E181" s="18">
        <f t="shared" si="13"/>
        <v>0</v>
      </c>
      <c r="F181" s="18">
        <f t="shared" si="14"/>
        <v>14</v>
      </c>
      <c r="G181" s="18">
        <f t="shared" si="15"/>
        <v>0</v>
      </c>
      <c r="H181">
        <f t="shared" si="16"/>
        <v>66</v>
      </c>
      <c r="I181">
        <f t="shared" si="16"/>
        <v>65</v>
      </c>
      <c r="J181">
        <f t="shared" si="16"/>
        <v>63</v>
      </c>
      <c r="K181">
        <f t="shared" si="12"/>
        <v>0</v>
      </c>
    </row>
    <row r="182" spans="1:11" x14ac:dyDescent="0.25">
      <c r="A182" s="13">
        <v>46111</v>
      </c>
      <c r="B182" s="7">
        <v>4579</v>
      </c>
      <c r="C182" s="8">
        <v>4170</v>
      </c>
      <c r="D182" s="9">
        <v>3799</v>
      </c>
      <c r="E182" s="18">
        <f t="shared" si="13"/>
        <v>19</v>
      </c>
      <c r="F182" s="18">
        <f t="shared" si="14"/>
        <v>30</v>
      </c>
      <c r="G182" s="18">
        <f t="shared" si="15"/>
        <v>19</v>
      </c>
      <c r="H182">
        <f t="shared" si="16"/>
        <v>76</v>
      </c>
      <c r="I182">
        <f t="shared" si="16"/>
        <v>69</v>
      </c>
      <c r="J182">
        <f t="shared" si="16"/>
        <v>63</v>
      </c>
      <c r="K182">
        <f t="shared" si="12"/>
        <v>0</v>
      </c>
    </row>
    <row r="183" spans="1:11" x14ac:dyDescent="0.25">
      <c r="A183" s="13">
        <v>46112</v>
      </c>
      <c r="B183" s="1">
        <v>4997</v>
      </c>
      <c r="C183" s="2">
        <v>3750</v>
      </c>
      <c r="D183" s="3">
        <v>4428</v>
      </c>
      <c r="E183" s="18">
        <f t="shared" si="13"/>
        <v>17</v>
      </c>
      <c r="F183" s="18">
        <f t="shared" si="14"/>
        <v>0</v>
      </c>
      <c r="G183" s="18">
        <f t="shared" si="15"/>
        <v>0</v>
      </c>
      <c r="H183">
        <f t="shared" si="16"/>
        <v>83</v>
      </c>
      <c r="I183">
        <f t="shared" si="16"/>
        <v>63</v>
      </c>
      <c r="J183">
        <f t="shared" si="16"/>
        <v>74</v>
      </c>
      <c r="K183">
        <f t="shared" si="12"/>
        <v>0</v>
      </c>
    </row>
    <row r="184" spans="1:11" x14ac:dyDescent="0.25">
      <c r="H184">
        <f>SUM(H2:H183)</f>
        <v>12182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D39C52-B29D-4CC5-AA69-A1D69D06CA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kopalnie</vt:lpstr>
      <vt:lpstr>zad1</vt:lpstr>
      <vt:lpstr>zad2</vt:lpstr>
      <vt:lpstr>zad3</vt:lpstr>
      <vt:lpstr>zad4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 Hasse</dc:creator>
  <cp:lastModifiedBy>Lena Hasse</cp:lastModifiedBy>
  <dcterms:created xsi:type="dcterms:W3CDTF">2026-05-12T12:21:12Z</dcterms:created>
  <dcterms:modified xsi:type="dcterms:W3CDTF">2026-05-12T13:17:59Z</dcterms:modified>
</cp:coreProperties>
</file>