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739371032d689/Pulpit/"/>
    </mc:Choice>
  </mc:AlternateContent>
  <xr:revisionPtr revIDLastSave="1" documentId="8_{9C30AE14-434A-43F8-B5E5-44FEA91FF7EA}" xr6:coauthVersionLast="47" xr6:coauthVersionMax="47" xr10:uidLastSave="{A2CFFFD8-3391-4D94-AF91-0917B550E0EA}"/>
  <bookViews>
    <workbookView xWindow="-120" yWindow="-120" windowWidth="38640" windowHeight="21120" activeTab="4" xr2:uid="{BE8917A7-12D3-4D9B-AF0E-AFD15D3349AD}"/>
  </bookViews>
  <sheets>
    <sheet name="fotowoltaika" sheetId="2" r:id="rId1"/>
    <sheet name="zad1" sheetId="3" r:id="rId2"/>
    <sheet name="zad2" sheetId="4" r:id="rId3"/>
    <sheet name="zad3" sheetId="5" r:id="rId4"/>
    <sheet name="zad4" sheetId="6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6" l="1"/>
  <c r="J2" i="6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2" i="5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 s="1"/>
  <c r="H25" i="4" s="1"/>
  <c r="H26" i="4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 s="1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 s="1"/>
  <c r="H65" i="4" s="1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 s="1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 s="1"/>
  <c r="H185" i="4" s="1"/>
  <c r="H186" i="4" s="1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 s="1"/>
  <c r="H265" i="4" s="1"/>
  <c r="H266" i="4" s="1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 s="1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 s="1"/>
  <c r="H345" i="4" s="1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" i="4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2" i="3"/>
  <c r="K2" i="6" l="1"/>
  <c r="I3" i="6"/>
  <c r="K3" i="6" s="1"/>
  <c r="I4" i="4"/>
  <c r="I4" i="6" l="1"/>
  <c r="K4" i="6" s="1"/>
  <c r="J3" i="6"/>
  <c r="J4" i="6" l="1"/>
  <c r="I5" i="6"/>
  <c r="K5" i="6" s="1"/>
  <c r="J5" i="6" l="1"/>
  <c r="I6" i="6"/>
  <c r="K6" i="6" s="1"/>
  <c r="J6" i="6" l="1"/>
  <c r="I7" i="6"/>
  <c r="K7" i="6" s="1"/>
  <c r="I8" i="6" l="1"/>
  <c r="K8" i="6" s="1"/>
  <c r="J7" i="6"/>
  <c r="I9" i="6" l="1"/>
  <c r="K9" i="6" s="1"/>
  <c r="J8" i="6"/>
  <c r="I10" i="6" l="1"/>
  <c r="K10" i="6" s="1"/>
  <c r="J9" i="6"/>
  <c r="I11" i="6" l="1"/>
  <c r="K11" i="6" s="1"/>
  <c r="J10" i="6"/>
  <c r="J11" i="6" l="1"/>
  <c r="I12" i="6"/>
  <c r="K12" i="6" s="1"/>
  <c r="J12" i="6" l="1"/>
  <c r="I13" i="6"/>
  <c r="K13" i="6" s="1"/>
  <c r="J13" i="6" l="1"/>
  <c r="I14" i="6"/>
  <c r="K14" i="6" s="1"/>
  <c r="J14" i="6" l="1"/>
  <c r="I15" i="6"/>
  <c r="K15" i="6" s="1"/>
  <c r="J15" i="6" l="1"/>
  <c r="I16" i="6"/>
  <c r="K16" i="6" s="1"/>
  <c r="I17" i="6" l="1"/>
  <c r="K17" i="6" s="1"/>
  <c r="J16" i="6"/>
  <c r="I18" i="6" l="1"/>
  <c r="K18" i="6" s="1"/>
  <c r="J17" i="6"/>
  <c r="I19" i="6" l="1"/>
  <c r="K19" i="6" s="1"/>
  <c r="J18" i="6"/>
  <c r="I20" i="6" l="1"/>
  <c r="K20" i="6" s="1"/>
  <c r="J19" i="6"/>
  <c r="I21" i="6" l="1"/>
  <c r="K21" i="6" s="1"/>
  <c r="J20" i="6"/>
  <c r="J21" i="6" l="1"/>
  <c r="I22" i="6"/>
  <c r="K22" i="6" s="1"/>
  <c r="J22" i="6" l="1"/>
  <c r="I23" i="6"/>
  <c r="K23" i="6" s="1"/>
  <c r="I24" i="6" l="1"/>
  <c r="K24" i="6" s="1"/>
  <c r="J23" i="6"/>
  <c r="I25" i="6" l="1"/>
  <c r="K25" i="6" s="1"/>
  <c r="J24" i="6"/>
  <c r="I26" i="6" l="1"/>
  <c r="K26" i="6" s="1"/>
  <c r="J25" i="6"/>
  <c r="I27" i="6" l="1"/>
  <c r="K27" i="6" s="1"/>
  <c r="J26" i="6"/>
  <c r="I28" i="6" l="1"/>
  <c r="K28" i="6" s="1"/>
  <c r="J27" i="6"/>
  <c r="I29" i="6" l="1"/>
  <c r="K29" i="6" s="1"/>
  <c r="J28" i="6"/>
  <c r="I30" i="6" l="1"/>
  <c r="K30" i="6" s="1"/>
  <c r="J29" i="6"/>
  <c r="I31" i="6" l="1"/>
  <c r="K31" i="6" s="1"/>
  <c r="J30" i="6"/>
  <c r="I32" i="6" l="1"/>
  <c r="K32" i="6" s="1"/>
  <c r="J31" i="6"/>
  <c r="I33" i="6" l="1"/>
  <c r="K33" i="6" s="1"/>
  <c r="J32" i="6"/>
  <c r="I34" i="6" l="1"/>
  <c r="K34" i="6" s="1"/>
  <c r="J33" i="6"/>
  <c r="I35" i="6" l="1"/>
  <c r="K35" i="6" s="1"/>
  <c r="J34" i="6"/>
  <c r="I36" i="6" l="1"/>
  <c r="K36" i="6" s="1"/>
  <c r="J35" i="6"/>
  <c r="I37" i="6" l="1"/>
  <c r="K37" i="6" s="1"/>
  <c r="J36" i="6"/>
  <c r="I38" i="6" l="1"/>
  <c r="K38" i="6" s="1"/>
  <c r="J37" i="6"/>
  <c r="I39" i="6" l="1"/>
  <c r="K39" i="6" s="1"/>
  <c r="J38" i="6"/>
  <c r="I40" i="6" l="1"/>
  <c r="K40" i="6" s="1"/>
  <c r="J39" i="6"/>
  <c r="I41" i="6" l="1"/>
  <c r="K41" i="6" s="1"/>
  <c r="J40" i="6"/>
  <c r="I42" i="6" l="1"/>
  <c r="K42" i="6" s="1"/>
  <c r="J41" i="6"/>
  <c r="I43" i="6" l="1"/>
  <c r="K43" i="6" s="1"/>
  <c r="J42" i="6"/>
  <c r="I44" i="6" l="1"/>
  <c r="K44" i="6" s="1"/>
  <c r="J43" i="6"/>
  <c r="I45" i="6" l="1"/>
  <c r="K45" i="6" s="1"/>
  <c r="J44" i="6"/>
  <c r="I46" i="6" l="1"/>
  <c r="K46" i="6" s="1"/>
  <c r="J45" i="6"/>
  <c r="I47" i="6" l="1"/>
  <c r="K47" i="6" s="1"/>
  <c r="J46" i="6"/>
  <c r="I48" i="6" l="1"/>
  <c r="K48" i="6" s="1"/>
  <c r="J47" i="6"/>
  <c r="I49" i="6" l="1"/>
  <c r="K49" i="6" s="1"/>
  <c r="J48" i="6"/>
  <c r="J49" i="6" l="1"/>
  <c r="I50" i="6"/>
  <c r="K50" i="6" s="1"/>
  <c r="I51" i="6" l="1"/>
  <c r="K51" i="6" s="1"/>
  <c r="J50" i="6"/>
  <c r="J51" i="6" l="1"/>
  <c r="I52" i="6"/>
  <c r="K52" i="6" s="1"/>
  <c r="I53" i="6" l="1"/>
  <c r="K53" i="6" s="1"/>
  <c r="J52" i="6"/>
  <c r="I54" i="6" l="1"/>
  <c r="K54" i="6" s="1"/>
  <c r="J53" i="6"/>
  <c r="I55" i="6" l="1"/>
  <c r="K55" i="6" s="1"/>
  <c r="J54" i="6"/>
  <c r="I56" i="6" l="1"/>
  <c r="K56" i="6" s="1"/>
  <c r="J55" i="6"/>
  <c r="J56" i="6" l="1"/>
  <c r="I57" i="6"/>
  <c r="K57" i="6" s="1"/>
  <c r="I58" i="6" l="1"/>
  <c r="K58" i="6" s="1"/>
  <c r="J57" i="6"/>
  <c r="I59" i="6" l="1"/>
  <c r="K59" i="6" s="1"/>
  <c r="J58" i="6"/>
  <c r="I60" i="6" l="1"/>
  <c r="K60" i="6" s="1"/>
  <c r="J59" i="6"/>
  <c r="I61" i="6" l="1"/>
  <c r="K61" i="6" s="1"/>
  <c r="J60" i="6"/>
  <c r="J61" i="6" l="1"/>
  <c r="I62" i="6"/>
  <c r="K62" i="6" s="1"/>
  <c r="I63" i="6" l="1"/>
  <c r="K63" i="6" s="1"/>
  <c r="J62" i="6"/>
  <c r="I64" i="6" l="1"/>
  <c r="K64" i="6" s="1"/>
  <c r="J63" i="6"/>
  <c r="I65" i="6" l="1"/>
  <c r="K65" i="6" s="1"/>
  <c r="J64" i="6"/>
  <c r="I66" i="6" l="1"/>
  <c r="K66" i="6" s="1"/>
  <c r="J65" i="6"/>
  <c r="I67" i="6" l="1"/>
  <c r="K67" i="6" s="1"/>
  <c r="J66" i="6"/>
  <c r="I68" i="6" l="1"/>
  <c r="K68" i="6" s="1"/>
  <c r="J67" i="6"/>
  <c r="I69" i="6" l="1"/>
  <c r="K69" i="6" s="1"/>
  <c r="J68" i="6"/>
  <c r="I70" i="6" l="1"/>
  <c r="K70" i="6" s="1"/>
  <c r="J69" i="6"/>
  <c r="I71" i="6" l="1"/>
  <c r="K71" i="6" s="1"/>
  <c r="J70" i="6"/>
  <c r="I72" i="6" l="1"/>
  <c r="K72" i="6" s="1"/>
  <c r="J71" i="6"/>
  <c r="I73" i="6" l="1"/>
  <c r="K73" i="6" s="1"/>
  <c r="J72" i="6"/>
  <c r="I74" i="6" l="1"/>
  <c r="K74" i="6" s="1"/>
  <c r="J73" i="6"/>
  <c r="I75" i="6" l="1"/>
  <c r="K75" i="6" s="1"/>
  <c r="J74" i="6"/>
  <c r="I76" i="6" l="1"/>
  <c r="K76" i="6" s="1"/>
  <c r="J75" i="6"/>
  <c r="I77" i="6" l="1"/>
  <c r="K77" i="6" s="1"/>
  <c r="J76" i="6"/>
  <c r="I78" i="6" l="1"/>
  <c r="K78" i="6" s="1"/>
  <c r="J77" i="6"/>
  <c r="I79" i="6" l="1"/>
  <c r="K79" i="6" s="1"/>
  <c r="J78" i="6"/>
  <c r="I80" i="6" l="1"/>
  <c r="K80" i="6" s="1"/>
  <c r="J79" i="6"/>
  <c r="I81" i="6" l="1"/>
  <c r="K81" i="6" s="1"/>
  <c r="J80" i="6"/>
  <c r="I82" i="6" l="1"/>
  <c r="K82" i="6" s="1"/>
  <c r="J81" i="6"/>
  <c r="I83" i="6" l="1"/>
  <c r="K83" i="6" s="1"/>
  <c r="J82" i="6"/>
  <c r="I84" i="6" l="1"/>
  <c r="K84" i="6" s="1"/>
  <c r="J83" i="6"/>
  <c r="I85" i="6" l="1"/>
  <c r="K85" i="6" s="1"/>
  <c r="J84" i="6"/>
  <c r="I86" i="6" l="1"/>
  <c r="K86" i="6" s="1"/>
  <c r="J85" i="6"/>
  <c r="I87" i="6" l="1"/>
  <c r="K87" i="6" s="1"/>
  <c r="J86" i="6"/>
  <c r="I88" i="6" l="1"/>
  <c r="K88" i="6" s="1"/>
  <c r="J87" i="6"/>
  <c r="I89" i="6" l="1"/>
  <c r="K89" i="6" s="1"/>
  <c r="J88" i="6"/>
  <c r="I90" i="6" l="1"/>
  <c r="K90" i="6" s="1"/>
  <c r="J89" i="6"/>
  <c r="I91" i="6" l="1"/>
  <c r="K91" i="6" s="1"/>
  <c r="J90" i="6"/>
  <c r="I92" i="6" l="1"/>
  <c r="K92" i="6" s="1"/>
  <c r="J91" i="6"/>
  <c r="I93" i="6" l="1"/>
  <c r="K93" i="6" s="1"/>
  <c r="J92" i="6"/>
  <c r="I94" i="6" l="1"/>
  <c r="K94" i="6" s="1"/>
  <c r="J93" i="6"/>
  <c r="I95" i="6" l="1"/>
  <c r="K95" i="6" s="1"/>
  <c r="J94" i="6"/>
  <c r="I96" i="6" l="1"/>
  <c r="K96" i="6" s="1"/>
  <c r="J95" i="6"/>
  <c r="I97" i="6" l="1"/>
  <c r="K97" i="6" s="1"/>
  <c r="J96" i="6"/>
  <c r="I98" i="6" l="1"/>
  <c r="K98" i="6" s="1"/>
  <c r="J97" i="6"/>
  <c r="I99" i="6" l="1"/>
  <c r="K99" i="6" s="1"/>
  <c r="J98" i="6"/>
  <c r="I100" i="6" l="1"/>
  <c r="K100" i="6" s="1"/>
  <c r="J99" i="6"/>
  <c r="I101" i="6" l="1"/>
  <c r="K101" i="6" s="1"/>
  <c r="J100" i="6"/>
  <c r="I102" i="6" l="1"/>
  <c r="K102" i="6" s="1"/>
  <c r="J101" i="6"/>
  <c r="I103" i="6" l="1"/>
  <c r="K103" i="6" s="1"/>
  <c r="J102" i="6"/>
  <c r="I104" i="6" l="1"/>
  <c r="K104" i="6" s="1"/>
  <c r="J103" i="6"/>
  <c r="I105" i="6" l="1"/>
  <c r="K105" i="6" s="1"/>
  <c r="J104" i="6"/>
  <c r="I106" i="6" l="1"/>
  <c r="K106" i="6" s="1"/>
  <c r="J105" i="6"/>
  <c r="I107" i="6" l="1"/>
  <c r="K107" i="6" s="1"/>
  <c r="J106" i="6"/>
  <c r="I108" i="6" l="1"/>
  <c r="K108" i="6" s="1"/>
  <c r="J107" i="6"/>
  <c r="I109" i="6" l="1"/>
  <c r="K109" i="6" s="1"/>
  <c r="J108" i="6"/>
  <c r="I110" i="6" l="1"/>
  <c r="K110" i="6" s="1"/>
  <c r="J109" i="6"/>
  <c r="I111" i="6" l="1"/>
  <c r="K111" i="6" s="1"/>
  <c r="J110" i="6"/>
  <c r="I112" i="6" l="1"/>
  <c r="K112" i="6" s="1"/>
  <c r="J111" i="6"/>
  <c r="I113" i="6" l="1"/>
  <c r="K113" i="6" s="1"/>
  <c r="J112" i="6"/>
  <c r="I114" i="6" l="1"/>
  <c r="K114" i="6" s="1"/>
  <c r="J113" i="6"/>
  <c r="I115" i="6" l="1"/>
  <c r="K115" i="6" s="1"/>
  <c r="J114" i="6"/>
  <c r="I116" i="6" l="1"/>
  <c r="K116" i="6" s="1"/>
  <c r="J115" i="6"/>
  <c r="I117" i="6" l="1"/>
  <c r="K117" i="6" s="1"/>
  <c r="J116" i="6"/>
  <c r="I118" i="6" l="1"/>
  <c r="K118" i="6" s="1"/>
  <c r="J117" i="6"/>
  <c r="I119" i="6" l="1"/>
  <c r="K119" i="6" s="1"/>
  <c r="J118" i="6"/>
  <c r="I120" i="6" l="1"/>
  <c r="K120" i="6" s="1"/>
  <c r="J119" i="6"/>
  <c r="I121" i="6" l="1"/>
  <c r="K121" i="6" s="1"/>
  <c r="J120" i="6"/>
  <c r="I122" i="6" l="1"/>
  <c r="K122" i="6" s="1"/>
  <c r="J121" i="6"/>
  <c r="I123" i="6" l="1"/>
  <c r="K123" i="6" s="1"/>
  <c r="J122" i="6"/>
  <c r="I124" i="6" l="1"/>
  <c r="K124" i="6" s="1"/>
  <c r="J123" i="6"/>
  <c r="I125" i="6" l="1"/>
  <c r="K125" i="6" s="1"/>
  <c r="J124" i="6"/>
  <c r="I126" i="6" l="1"/>
  <c r="K126" i="6" s="1"/>
  <c r="J125" i="6"/>
  <c r="I127" i="6" l="1"/>
  <c r="K127" i="6" s="1"/>
  <c r="J126" i="6"/>
  <c r="I128" i="6" l="1"/>
  <c r="K128" i="6" s="1"/>
  <c r="J127" i="6"/>
  <c r="I129" i="6" l="1"/>
  <c r="K129" i="6" s="1"/>
  <c r="J128" i="6"/>
  <c r="I130" i="6" l="1"/>
  <c r="K130" i="6" s="1"/>
  <c r="J129" i="6"/>
  <c r="I131" i="6" l="1"/>
  <c r="K131" i="6" s="1"/>
  <c r="J130" i="6"/>
  <c r="I132" i="6" l="1"/>
  <c r="K132" i="6" s="1"/>
  <c r="J131" i="6"/>
  <c r="I133" i="6" l="1"/>
  <c r="K133" i="6" s="1"/>
  <c r="J132" i="6"/>
  <c r="I134" i="6" l="1"/>
  <c r="K134" i="6" s="1"/>
  <c r="J133" i="6"/>
  <c r="I135" i="6" l="1"/>
  <c r="K135" i="6" s="1"/>
  <c r="J134" i="6"/>
  <c r="I136" i="6" l="1"/>
  <c r="K136" i="6" s="1"/>
  <c r="J135" i="6"/>
  <c r="I137" i="6" l="1"/>
  <c r="K137" i="6" s="1"/>
  <c r="J136" i="6"/>
  <c r="I138" i="6" l="1"/>
  <c r="K138" i="6" s="1"/>
  <c r="J137" i="6"/>
  <c r="I139" i="6" l="1"/>
  <c r="K139" i="6" s="1"/>
  <c r="J138" i="6"/>
  <c r="I140" i="6" l="1"/>
  <c r="K140" i="6" s="1"/>
  <c r="J139" i="6"/>
  <c r="I141" i="6" l="1"/>
  <c r="K141" i="6" s="1"/>
  <c r="J140" i="6"/>
  <c r="I142" i="6" l="1"/>
  <c r="K142" i="6" s="1"/>
  <c r="J141" i="6"/>
  <c r="I143" i="6" l="1"/>
  <c r="K143" i="6" s="1"/>
  <c r="J142" i="6"/>
  <c r="I144" i="6" l="1"/>
  <c r="K144" i="6" s="1"/>
  <c r="J143" i="6"/>
  <c r="I145" i="6" l="1"/>
  <c r="K145" i="6" s="1"/>
  <c r="J144" i="6"/>
  <c r="I146" i="6" l="1"/>
  <c r="K146" i="6" s="1"/>
  <c r="J145" i="6"/>
  <c r="I147" i="6" l="1"/>
  <c r="K147" i="6" s="1"/>
  <c r="J146" i="6"/>
  <c r="I148" i="6" l="1"/>
  <c r="K148" i="6" s="1"/>
  <c r="J147" i="6"/>
  <c r="I149" i="6" l="1"/>
  <c r="K149" i="6" s="1"/>
  <c r="J148" i="6"/>
  <c r="I150" i="6" l="1"/>
  <c r="K150" i="6" s="1"/>
  <c r="J149" i="6"/>
  <c r="I151" i="6" l="1"/>
  <c r="K151" i="6" s="1"/>
  <c r="J150" i="6"/>
  <c r="I152" i="6" l="1"/>
  <c r="K152" i="6" s="1"/>
  <c r="J151" i="6"/>
  <c r="I153" i="6" l="1"/>
  <c r="K153" i="6" s="1"/>
  <c r="J152" i="6"/>
  <c r="I154" i="6" l="1"/>
  <c r="K154" i="6" s="1"/>
  <c r="J153" i="6"/>
  <c r="I155" i="6" l="1"/>
  <c r="K155" i="6" s="1"/>
  <c r="J154" i="6"/>
  <c r="I156" i="6" l="1"/>
  <c r="K156" i="6" s="1"/>
  <c r="J155" i="6"/>
  <c r="I157" i="6" l="1"/>
  <c r="K157" i="6" s="1"/>
  <c r="J156" i="6"/>
  <c r="I158" i="6" l="1"/>
  <c r="K158" i="6" s="1"/>
  <c r="J157" i="6"/>
  <c r="I159" i="6" l="1"/>
  <c r="K159" i="6" s="1"/>
  <c r="J158" i="6"/>
  <c r="I160" i="6" l="1"/>
  <c r="K160" i="6" s="1"/>
  <c r="J159" i="6"/>
  <c r="I161" i="6" l="1"/>
  <c r="K161" i="6" s="1"/>
  <c r="J160" i="6"/>
  <c r="I162" i="6" l="1"/>
  <c r="K162" i="6" s="1"/>
  <c r="J161" i="6"/>
  <c r="I163" i="6" l="1"/>
  <c r="K163" i="6" s="1"/>
  <c r="J162" i="6"/>
  <c r="I164" i="6" l="1"/>
  <c r="K164" i="6" s="1"/>
  <c r="J163" i="6"/>
  <c r="I165" i="6" l="1"/>
  <c r="K165" i="6" s="1"/>
  <c r="J164" i="6"/>
  <c r="I166" i="6" l="1"/>
  <c r="K166" i="6" s="1"/>
  <c r="J165" i="6"/>
  <c r="I167" i="6" l="1"/>
  <c r="K167" i="6" s="1"/>
  <c r="J166" i="6"/>
  <c r="I168" i="6" l="1"/>
  <c r="K168" i="6" s="1"/>
  <c r="J167" i="6"/>
  <c r="I169" i="6" l="1"/>
  <c r="K169" i="6" s="1"/>
  <c r="J168" i="6"/>
  <c r="I170" i="6" l="1"/>
  <c r="K170" i="6" s="1"/>
  <c r="J169" i="6"/>
  <c r="I171" i="6" l="1"/>
  <c r="K171" i="6" s="1"/>
  <c r="J170" i="6"/>
  <c r="I172" i="6" l="1"/>
  <c r="K172" i="6" s="1"/>
  <c r="J171" i="6"/>
  <c r="I173" i="6" l="1"/>
  <c r="K173" i="6" s="1"/>
  <c r="J172" i="6"/>
  <c r="I174" i="6" l="1"/>
  <c r="K174" i="6" s="1"/>
  <c r="J173" i="6"/>
  <c r="I175" i="6" l="1"/>
  <c r="K175" i="6" s="1"/>
  <c r="J174" i="6"/>
  <c r="I176" i="6" l="1"/>
  <c r="K176" i="6" s="1"/>
  <c r="J175" i="6"/>
  <c r="I177" i="6" l="1"/>
  <c r="K177" i="6" s="1"/>
  <c r="J176" i="6"/>
  <c r="I178" i="6" l="1"/>
  <c r="K178" i="6" s="1"/>
  <c r="J177" i="6"/>
  <c r="I179" i="6" l="1"/>
  <c r="K179" i="6" s="1"/>
  <c r="J178" i="6"/>
  <c r="I180" i="6" l="1"/>
  <c r="K180" i="6" s="1"/>
  <c r="J179" i="6"/>
  <c r="I181" i="6" l="1"/>
  <c r="K181" i="6" s="1"/>
  <c r="J180" i="6"/>
  <c r="I182" i="6" l="1"/>
  <c r="K182" i="6" s="1"/>
  <c r="J181" i="6"/>
  <c r="J182" i="6" l="1"/>
  <c r="I183" i="6"/>
  <c r="K183" i="6" s="1"/>
  <c r="I184" i="6" l="1"/>
  <c r="K184" i="6" s="1"/>
  <c r="J183" i="6"/>
  <c r="I185" i="6" l="1"/>
  <c r="K185" i="6" s="1"/>
  <c r="J184" i="6"/>
  <c r="I186" i="6" l="1"/>
  <c r="K186" i="6" s="1"/>
  <c r="J185" i="6"/>
  <c r="I187" i="6" l="1"/>
  <c r="K187" i="6" s="1"/>
  <c r="J186" i="6"/>
  <c r="I188" i="6" l="1"/>
  <c r="K188" i="6" s="1"/>
  <c r="J187" i="6"/>
  <c r="I189" i="6" l="1"/>
  <c r="K189" i="6" s="1"/>
  <c r="J188" i="6"/>
  <c r="I190" i="6" l="1"/>
  <c r="K190" i="6" s="1"/>
  <c r="J189" i="6"/>
  <c r="I191" i="6" l="1"/>
  <c r="K191" i="6" s="1"/>
  <c r="J190" i="6"/>
  <c r="I192" i="6" l="1"/>
  <c r="K192" i="6" s="1"/>
  <c r="J191" i="6"/>
  <c r="I193" i="6" l="1"/>
  <c r="K193" i="6" s="1"/>
  <c r="J192" i="6"/>
  <c r="I194" i="6" l="1"/>
  <c r="K194" i="6" s="1"/>
  <c r="J193" i="6"/>
  <c r="I195" i="6" l="1"/>
  <c r="K195" i="6" s="1"/>
  <c r="J194" i="6"/>
  <c r="I196" i="6" l="1"/>
  <c r="K196" i="6" s="1"/>
  <c r="J195" i="6"/>
  <c r="I197" i="6" l="1"/>
  <c r="K197" i="6" s="1"/>
  <c r="J196" i="6"/>
  <c r="I198" i="6" l="1"/>
  <c r="K198" i="6" s="1"/>
  <c r="J197" i="6"/>
  <c r="J198" i="6" l="1"/>
  <c r="I199" i="6"/>
  <c r="K199" i="6" s="1"/>
  <c r="I200" i="6" l="1"/>
  <c r="K200" i="6" s="1"/>
  <c r="J199" i="6"/>
  <c r="I201" i="6" l="1"/>
  <c r="K201" i="6" s="1"/>
  <c r="J200" i="6"/>
  <c r="I202" i="6" l="1"/>
  <c r="K202" i="6" s="1"/>
  <c r="J201" i="6"/>
  <c r="I203" i="6" l="1"/>
  <c r="K203" i="6" s="1"/>
  <c r="J202" i="6"/>
  <c r="I204" i="6" l="1"/>
  <c r="K204" i="6" s="1"/>
  <c r="J203" i="6"/>
  <c r="I205" i="6" l="1"/>
  <c r="K205" i="6" s="1"/>
  <c r="J204" i="6"/>
  <c r="I206" i="6" l="1"/>
  <c r="K206" i="6" s="1"/>
  <c r="J205" i="6"/>
  <c r="I207" i="6" l="1"/>
  <c r="K207" i="6" s="1"/>
  <c r="J206" i="6"/>
  <c r="I208" i="6" l="1"/>
  <c r="K208" i="6" s="1"/>
  <c r="J207" i="6"/>
  <c r="I209" i="6" l="1"/>
  <c r="K209" i="6" s="1"/>
  <c r="J208" i="6"/>
  <c r="I210" i="6" l="1"/>
  <c r="K210" i="6" s="1"/>
  <c r="J209" i="6"/>
  <c r="J210" i="6" l="1"/>
  <c r="I211" i="6"/>
  <c r="K211" i="6" s="1"/>
  <c r="I212" i="6" l="1"/>
  <c r="K212" i="6" s="1"/>
  <c r="J211" i="6"/>
  <c r="I213" i="6" l="1"/>
  <c r="K213" i="6" s="1"/>
  <c r="J212" i="6"/>
  <c r="I214" i="6" l="1"/>
  <c r="K214" i="6" s="1"/>
  <c r="J213" i="6"/>
  <c r="I215" i="6" l="1"/>
  <c r="K215" i="6" s="1"/>
  <c r="J214" i="6"/>
  <c r="I216" i="6" l="1"/>
  <c r="K216" i="6" s="1"/>
  <c r="J215" i="6"/>
  <c r="I217" i="6" l="1"/>
  <c r="K217" i="6" s="1"/>
  <c r="J216" i="6"/>
  <c r="I218" i="6" l="1"/>
  <c r="K218" i="6" s="1"/>
  <c r="J217" i="6"/>
  <c r="I219" i="6" l="1"/>
  <c r="K219" i="6" s="1"/>
  <c r="J218" i="6"/>
  <c r="I220" i="6" l="1"/>
  <c r="K220" i="6" s="1"/>
  <c r="J219" i="6"/>
  <c r="I221" i="6" l="1"/>
  <c r="K221" i="6" s="1"/>
  <c r="J220" i="6"/>
  <c r="I222" i="6" l="1"/>
  <c r="K222" i="6" s="1"/>
  <c r="J221" i="6"/>
  <c r="I223" i="6" l="1"/>
  <c r="K223" i="6" s="1"/>
  <c r="J222" i="6"/>
  <c r="I224" i="6" l="1"/>
  <c r="K224" i="6" s="1"/>
  <c r="J223" i="6"/>
  <c r="I225" i="6" l="1"/>
  <c r="K225" i="6" s="1"/>
  <c r="J224" i="6"/>
  <c r="I226" i="6" l="1"/>
  <c r="K226" i="6" s="1"/>
  <c r="J225" i="6"/>
  <c r="I227" i="6" l="1"/>
  <c r="K227" i="6" s="1"/>
  <c r="J226" i="6"/>
  <c r="I228" i="6" l="1"/>
  <c r="K228" i="6" s="1"/>
  <c r="J227" i="6"/>
  <c r="I229" i="6" l="1"/>
  <c r="K229" i="6" s="1"/>
  <c r="J228" i="6"/>
  <c r="I230" i="6" l="1"/>
  <c r="K230" i="6" s="1"/>
  <c r="J229" i="6"/>
  <c r="I231" i="6" l="1"/>
  <c r="K231" i="6" s="1"/>
  <c r="J230" i="6"/>
  <c r="I232" i="6" l="1"/>
  <c r="K232" i="6" s="1"/>
  <c r="J231" i="6"/>
  <c r="I233" i="6" l="1"/>
  <c r="K233" i="6" s="1"/>
  <c r="J232" i="6"/>
  <c r="I234" i="6" l="1"/>
  <c r="K234" i="6" s="1"/>
  <c r="J233" i="6"/>
  <c r="I235" i="6" l="1"/>
  <c r="K235" i="6" s="1"/>
  <c r="J234" i="6"/>
  <c r="I236" i="6" l="1"/>
  <c r="K236" i="6" s="1"/>
  <c r="J235" i="6"/>
  <c r="I237" i="6" l="1"/>
  <c r="K237" i="6" s="1"/>
  <c r="J236" i="6"/>
  <c r="I238" i="6" l="1"/>
  <c r="K238" i="6" s="1"/>
  <c r="J237" i="6"/>
  <c r="I239" i="6" l="1"/>
  <c r="K239" i="6" s="1"/>
  <c r="J238" i="6"/>
  <c r="I240" i="6" l="1"/>
  <c r="K240" i="6" s="1"/>
  <c r="J239" i="6"/>
  <c r="I241" i="6" l="1"/>
  <c r="K241" i="6" s="1"/>
  <c r="J240" i="6"/>
  <c r="I242" i="6" l="1"/>
  <c r="K242" i="6" s="1"/>
  <c r="J241" i="6"/>
  <c r="I243" i="6" l="1"/>
  <c r="K243" i="6" s="1"/>
  <c r="J242" i="6"/>
  <c r="I244" i="6" l="1"/>
  <c r="K244" i="6" s="1"/>
  <c r="J243" i="6"/>
  <c r="I245" i="6" l="1"/>
  <c r="K245" i="6" s="1"/>
  <c r="J244" i="6"/>
  <c r="I246" i="6" l="1"/>
  <c r="K246" i="6" s="1"/>
  <c r="J245" i="6"/>
  <c r="I247" i="6" l="1"/>
  <c r="K247" i="6" s="1"/>
  <c r="J246" i="6"/>
  <c r="I248" i="6" l="1"/>
  <c r="K248" i="6" s="1"/>
  <c r="J247" i="6"/>
  <c r="I249" i="6" l="1"/>
  <c r="K249" i="6" s="1"/>
  <c r="J248" i="6"/>
  <c r="I250" i="6" l="1"/>
  <c r="K250" i="6" s="1"/>
  <c r="J249" i="6"/>
  <c r="I251" i="6" l="1"/>
  <c r="K251" i="6" s="1"/>
  <c r="J250" i="6"/>
  <c r="I252" i="6" l="1"/>
  <c r="K252" i="6" s="1"/>
  <c r="J251" i="6"/>
  <c r="I253" i="6" l="1"/>
  <c r="K253" i="6" s="1"/>
  <c r="J252" i="6"/>
  <c r="I254" i="6" l="1"/>
  <c r="K254" i="6" s="1"/>
  <c r="J253" i="6"/>
  <c r="I255" i="6" l="1"/>
  <c r="K255" i="6" s="1"/>
  <c r="J254" i="6"/>
  <c r="I256" i="6" l="1"/>
  <c r="K256" i="6" s="1"/>
  <c r="J255" i="6"/>
  <c r="I257" i="6" l="1"/>
  <c r="K257" i="6" s="1"/>
  <c r="J256" i="6"/>
  <c r="I258" i="6" l="1"/>
  <c r="K258" i="6" s="1"/>
  <c r="J257" i="6"/>
  <c r="I259" i="6" l="1"/>
  <c r="K259" i="6" s="1"/>
  <c r="J258" i="6"/>
  <c r="I260" i="6" l="1"/>
  <c r="K260" i="6" s="1"/>
  <c r="J259" i="6"/>
  <c r="I261" i="6" l="1"/>
  <c r="K261" i="6" s="1"/>
  <c r="J260" i="6"/>
  <c r="I262" i="6" l="1"/>
  <c r="K262" i="6" s="1"/>
  <c r="J261" i="6"/>
  <c r="I263" i="6" l="1"/>
  <c r="K263" i="6" s="1"/>
  <c r="J262" i="6"/>
  <c r="I264" i="6" l="1"/>
  <c r="K264" i="6" s="1"/>
  <c r="J263" i="6"/>
  <c r="I265" i="6" l="1"/>
  <c r="K265" i="6" s="1"/>
  <c r="J264" i="6"/>
  <c r="I266" i="6" l="1"/>
  <c r="K266" i="6" s="1"/>
  <c r="J265" i="6"/>
  <c r="I267" i="6" l="1"/>
  <c r="K267" i="6" s="1"/>
  <c r="J266" i="6"/>
  <c r="I268" i="6" l="1"/>
  <c r="K268" i="6" s="1"/>
  <c r="J267" i="6"/>
  <c r="I269" i="6" l="1"/>
  <c r="K269" i="6" s="1"/>
  <c r="J268" i="6"/>
  <c r="I270" i="6" l="1"/>
  <c r="K270" i="6" s="1"/>
  <c r="J269" i="6"/>
  <c r="I271" i="6" l="1"/>
  <c r="K271" i="6" s="1"/>
  <c r="J270" i="6"/>
  <c r="I272" i="6" l="1"/>
  <c r="K272" i="6" s="1"/>
  <c r="J271" i="6"/>
  <c r="I273" i="6" l="1"/>
  <c r="K273" i="6" s="1"/>
  <c r="J272" i="6"/>
  <c r="I274" i="6" l="1"/>
  <c r="K274" i="6" s="1"/>
  <c r="J273" i="6"/>
  <c r="I275" i="6" l="1"/>
  <c r="K275" i="6" s="1"/>
  <c r="J274" i="6"/>
  <c r="I276" i="6" l="1"/>
  <c r="K276" i="6" s="1"/>
  <c r="J275" i="6"/>
  <c r="I277" i="6" l="1"/>
  <c r="K277" i="6" s="1"/>
  <c r="J276" i="6"/>
  <c r="I278" i="6" l="1"/>
  <c r="K278" i="6" s="1"/>
  <c r="J277" i="6"/>
  <c r="I279" i="6" l="1"/>
  <c r="K279" i="6" s="1"/>
  <c r="J278" i="6"/>
  <c r="I280" i="6" l="1"/>
  <c r="K280" i="6" s="1"/>
  <c r="J279" i="6"/>
  <c r="I281" i="6" l="1"/>
  <c r="K281" i="6" s="1"/>
  <c r="J280" i="6"/>
  <c r="I282" i="6" l="1"/>
  <c r="K282" i="6" s="1"/>
  <c r="J281" i="6"/>
  <c r="I283" i="6" l="1"/>
  <c r="K283" i="6" s="1"/>
  <c r="J282" i="6"/>
  <c r="I284" i="6" l="1"/>
  <c r="K284" i="6" s="1"/>
  <c r="J283" i="6"/>
  <c r="I285" i="6" l="1"/>
  <c r="K285" i="6" s="1"/>
  <c r="J284" i="6"/>
  <c r="I286" i="6" l="1"/>
  <c r="K286" i="6" s="1"/>
  <c r="J285" i="6"/>
  <c r="I287" i="6" l="1"/>
  <c r="K287" i="6" s="1"/>
  <c r="J286" i="6"/>
  <c r="I288" i="6" l="1"/>
  <c r="K288" i="6" s="1"/>
  <c r="J287" i="6"/>
  <c r="I289" i="6" l="1"/>
  <c r="K289" i="6" s="1"/>
  <c r="J288" i="6"/>
  <c r="I290" i="6" l="1"/>
  <c r="K290" i="6" s="1"/>
  <c r="J289" i="6"/>
  <c r="I291" i="6" l="1"/>
  <c r="K291" i="6" s="1"/>
  <c r="J290" i="6"/>
  <c r="I292" i="6" l="1"/>
  <c r="K292" i="6" s="1"/>
  <c r="J291" i="6"/>
  <c r="I293" i="6" l="1"/>
  <c r="K293" i="6" s="1"/>
  <c r="J292" i="6"/>
  <c r="I294" i="6" l="1"/>
  <c r="K294" i="6" s="1"/>
  <c r="J293" i="6"/>
  <c r="I295" i="6" l="1"/>
  <c r="K295" i="6" s="1"/>
  <c r="J294" i="6"/>
  <c r="I296" i="6" l="1"/>
  <c r="K296" i="6" s="1"/>
  <c r="J295" i="6"/>
  <c r="I297" i="6" l="1"/>
  <c r="K297" i="6" s="1"/>
  <c r="J296" i="6"/>
  <c r="I298" i="6" l="1"/>
  <c r="K298" i="6" s="1"/>
  <c r="J297" i="6"/>
  <c r="I299" i="6" l="1"/>
  <c r="K299" i="6" s="1"/>
  <c r="J298" i="6"/>
  <c r="I300" i="6" l="1"/>
  <c r="K300" i="6" s="1"/>
  <c r="J299" i="6"/>
  <c r="I301" i="6" l="1"/>
  <c r="K301" i="6" s="1"/>
  <c r="J300" i="6"/>
  <c r="I302" i="6" l="1"/>
  <c r="K302" i="6" s="1"/>
  <c r="J301" i="6"/>
  <c r="I303" i="6" l="1"/>
  <c r="K303" i="6" s="1"/>
  <c r="J302" i="6"/>
  <c r="I304" i="6" l="1"/>
  <c r="K304" i="6" s="1"/>
  <c r="J303" i="6"/>
  <c r="I305" i="6" l="1"/>
  <c r="K305" i="6" s="1"/>
  <c r="J304" i="6"/>
  <c r="I306" i="6" l="1"/>
  <c r="K306" i="6" s="1"/>
  <c r="J305" i="6"/>
  <c r="I307" i="6" l="1"/>
  <c r="K307" i="6" s="1"/>
  <c r="J306" i="6"/>
  <c r="I308" i="6" l="1"/>
  <c r="K308" i="6" s="1"/>
  <c r="J307" i="6"/>
  <c r="I309" i="6" l="1"/>
  <c r="K309" i="6" s="1"/>
  <c r="J308" i="6"/>
  <c r="I310" i="6" l="1"/>
  <c r="K310" i="6" s="1"/>
  <c r="J309" i="6"/>
  <c r="I311" i="6" l="1"/>
  <c r="K311" i="6" s="1"/>
  <c r="J310" i="6"/>
  <c r="I312" i="6" l="1"/>
  <c r="K312" i="6" s="1"/>
  <c r="J311" i="6"/>
  <c r="I313" i="6" l="1"/>
  <c r="K313" i="6" s="1"/>
  <c r="J312" i="6"/>
  <c r="I314" i="6" l="1"/>
  <c r="K314" i="6" s="1"/>
  <c r="J313" i="6"/>
  <c r="I315" i="6" l="1"/>
  <c r="K315" i="6" s="1"/>
  <c r="J314" i="6"/>
  <c r="I316" i="6" l="1"/>
  <c r="K316" i="6" s="1"/>
  <c r="J315" i="6"/>
  <c r="I317" i="6" l="1"/>
  <c r="K317" i="6" s="1"/>
  <c r="J316" i="6"/>
  <c r="I318" i="6" l="1"/>
  <c r="K318" i="6" s="1"/>
  <c r="J317" i="6"/>
  <c r="I319" i="6" l="1"/>
  <c r="K319" i="6" s="1"/>
  <c r="J318" i="6"/>
  <c r="I320" i="6" l="1"/>
  <c r="K320" i="6" s="1"/>
  <c r="J319" i="6"/>
  <c r="I321" i="6" l="1"/>
  <c r="K321" i="6" s="1"/>
  <c r="J320" i="6"/>
  <c r="I322" i="6" l="1"/>
  <c r="K322" i="6" s="1"/>
  <c r="J321" i="6"/>
  <c r="I323" i="6" l="1"/>
  <c r="K323" i="6" s="1"/>
  <c r="J322" i="6"/>
  <c r="I324" i="6" l="1"/>
  <c r="K324" i="6" s="1"/>
  <c r="J323" i="6"/>
  <c r="I325" i="6" l="1"/>
  <c r="K325" i="6" s="1"/>
  <c r="J324" i="6"/>
  <c r="I326" i="6" l="1"/>
  <c r="K326" i="6" s="1"/>
  <c r="J325" i="6"/>
  <c r="I327" i="6" l="1"/>
  <c r="K327" i="6" s="1"/>
  <c r="J326" i="6"/>
  <c r="I328" i="6" l="1"/>
  <c r="K328" i="6" s="1"/>
  <c r="J327" i="6"/>
  <c r="I329" i="6" l="1"/>
  <c r="K329" i="6" s="1"/>
  <c r="J328" i="6"/>
  <c r="I330" i="6" l="1"/>
  <c r="K330" i="6" s="1"/>
  <c r="J329" i="6"/>
  <c r="I331" i="6" l="1"/>
  <c r="K331" i="6" s="1"/>
  <c r="J330" i="6"/>
  <c r="I332" i="6" l="1"/>
  <c r="K332" i="6" s="1"/>
  <c r="J331" i="6"/>
  <c r="I333" i="6" l="1"/>
  <c r="K333" i="6" s="1"/>
  <c r="J332" i="6"/>
  <c r="I334" i="6" l="1"/>
  <c r="K334" i="6" s="1"/>
  <c r="J333" i="6"/>
  <c r="I335" i="6" l="1"/>
  <c r="K335" i="6" s="1"/>
  <c r="J334" i="6"/>
  <c r="I336" i="6" l="1"/>
  <c r="K336" i="6" s="1"/>
  <c r="J335" i="6"/>
  <c r="I337" i="6" l="1"/>
  <c r="K337" i="6" s="1"/>
  <c r="J336" i="6"/>
  <c r="I338" i="6" l="1"/>
  <c r="K338" i="6" s="1"/>
  <c r="J337" i="6"/>
  <c r="I339" i="6" l="1"/>
  <c r="K339" i="6" s="1"/>
  <c r="J338" i="6"/>
  <c r="I340" i="6" l="1"/>
  <c r="K340" i="6" s="1"/>
  <c r="J339" i="6"/>
  <c r="I341" i="6" l="1"/>
  <c r="K341" i="6" s="1"/>
  <c r="J340" i="6"/>
  <c r="I342" i="6" l="1"/>
  <c r="K342" i="6" s="1"/>
  <c r="J341" i="6"/>
  <c r="I343" i="6" l="1"/>
  <c r="K343" i="6" s="1"/>
  <c r="J342" i="6"/>
  <c r="I344" i="6" l="1"/>
  <c r="K344" i="6" s="1"/>
  <c r="J343" i="6"/>
  <c r="I345" i="6" l="1"/>
  <c r="K345" i="6" s="1"/>
  <c r="J344" i="6"/>
  <c r="I346" i="6" l="1"/>
  <c r="K346" i="6" s="1"/>
  <c r="J345" i="6"/>
  <c r="I347" i="6" l="1"/>
  <c r="K347" i="6" s="1"/>
  <c r="J346" i="6"/>
  <c r="I348" i="6" l="1"/>
  <c r="K348" i="6" s="1"/>
  <c r="J347" i="6"/>
  <c r="I349" i="6" l="1"/>
  <c r="K349" i="6" s="1"/>
  <c r="J348" i="6"/>
  <c r="I350" i="6" l="1"/>
  <c r="K350" i="6" s="1"/>
  <c r="J349" i="6"/>
  <c r="I351" i="6" l="1"/>
  <c r="K351" i="6" s="1"/>
  <c r="J350" i="6"/>
  <c r="I352" i="6" l="1"/>
  <c r="K352" i="6" s="1"/>
  <c r="J351" i="6"/>
  <c r="I353" i="6" l="1"/>
  <c r="K353" i="6" s="1"/>
  <c r="J352" i="6"/>
  <c r="I354" i="6" l="1"/>
  <c r="K354" i="6" s="1"/>
  <c r="J353" i="6"/>
  <c r="I355" i="6" l="1"/>
  <c r="K355" i="6" s="1"/>
  <c r="J354" i="6"/>
  <c r="I356" i="6" l="1"/>
  <c r="K356" i="6" s="1"/>
  <c r="J355" i="6"/>
  <c r="I357" i="6" l="1"/>
  <c r="K357" i="6" s="1"/>
  <c r="J356" i="6"/>
  <c r="I358" i="6" l="1"/>
  <c r="K358" i="6" s="1"/>
  <c r="J357" i="6"/>
  <c r="I359" i="6" l="1"/>
  <c r="K359" i="6" s="1"/>
  <c r="J358" i="6"/>
  <c r="I360" i="6" l="1"/>
  <c r="K360" i="6" s="1"/>
  <c r="J359" i="6"/>
  <c r="I361" i="6" l="1"/>
  <c r="K361" i="6" s="1"/>
  <c r="J360" i="6"/>
  <c r="I362" i="6" l="1"/>
  <c r="K362" i="6" s="1"/>
  <c r="J361" i="6"/>
  <c r="I363" i="6" l="1"/>
  <c r="K363" i="6" s="1"/>
  <c r="J362" i="6"/>
  <c r="I364" i="6" l="1"/>
  <c r="K364" i="6" s="1"/>
  <c r="J363" i="6"/>
  <c r="I365" i="6" l="1"/>
  <c r="K365" i="6" s="1"/>
  <c r="J364" i="6"/>
  <c r="I366" i="6" l="1"/>
  <c r="J365" i="6"/>
  <c r="J366" i="6" l="1"/>
  <c r="K36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8849AE-FFA7-42E3-9A57-31AF49F9D52C}" keepAlive="1" name="Zapytanie — fotowoltaika" description="Połączenie z zapytaniem „fotowoltaika” w skoroszycie." type="5" refreshedVersion="0" background="1">
    <dbPr connection="Provider=Microsoft.Mashup.OleDb.1;Data Source=$Workbook$;Location=fotowoltaika;Extended Properties=&quot;&quot;" command="SELECT * FROM [fotowoltaika]"/>
  </connection>
</connections>
</file>

<file path=xl/sharedStrings.xml><?xml version="1.0" encoding="utf-8"?>
<sst xmlns="http://schemas.openxmlformats.org/spreadsheetml/2006/main" count="46" uniqueCount="18">
  <si>
    <t>data</t>
  </si>
  <si>
    <t>wsch</t>
  </si>
  <si>
    <t>zach</t>
  </si>
  <si>
    <t>st_zach</t>
  </si>
  <si>
    <t>produkcja</t>
  </si>
  <si>
    <t>oddanie</t>
  </si>
  <si>
    <t>pobranie</t>
  </si>
  <si>
    <t>suma</t>
  </si>
  <si>
    <t>ciag</t>
  </si>
  <si>
    <t>naslonecznienie</t>
  </si>
  <si>
    <t>Etykiety wierszy</t>
  </si>
  <si>
    <t>Suma końcowa</t>
  </si>
  <si>
    <t>Średnia z pobranie</t>
  </si>
  <si>
    <t>Średnia z oddanie</t>
  </si>
  <si>
    <t>Średnia z produkcja</t>
  </si>
  <si>
    <t>zuzycie</t>
  </si>
  <si>
    <t>&lt;50</t>
  </si>
  <si>
    <t>&lt;0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</si>
</sst>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ill="1" applyBorder="1"/>
    <xf numFmtId="164" fontId="0" fillId="3" borderId="5" xfId="0" applyNumberFormat="1" applyFill="1" applyBorder="1"/>
    <xf numFmtId="0" fontId="0" fillId="3" borderId="5" xfId="0" applyFill="1" applyBorder="1"/>
    <xf numFmtId="0" fontId="0" fillId="3" borderId="6" xfId="0" applyFill="1" applyBorder="1"/>
    <xf numFmtId="14" fontId="0" fillId="0" borderId="4" xfId="0" applyNumberFormat="1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14" fontId="0" fillId="3" borderId="1" xfId="0" applyNumberFormat="1" applyFill="1" applyBorder="1"/>
    <xf numFmtId="164" fontId="0" fillId="3" borderId="2" xfId="0" applyNumberFormat="1" applyFill="1" applyBorder="1"/>
    <xf numFmtId="0" fontId="1" fillId="2" borderId="0" xfId="0" applyFont="1" applyFill="1"/>
    <xf numFmtId="0" fontId="0" fillId="3" borderId="0" xfId="0" applyFill="1"/>
    <xf numFmtId="0" fontId="1" fillId="2" borderId="0" xfId="0" applyFont="1" applyFill="1" applyBorder="1"/>
    <xf numFmtId="0" fontId="1" fillId="2" borderId="0" xfId="0" applyNumberFormat="1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[fotowoltaika.xlsx]zad3!Tabela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</a:t>
            </a:r>
            <a:r>
              <a:rPr lang="pl-PL" baseline="0"/>
              <a:t> średnich wartości pobrania oddania i produkcji w zależności od nasłonecznienia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zad3!$L$5</c:f>
              <c:strCache>
                <c:ptCount val="1"/>
                <c:pt idx="0">
                  <c:v>Średnia z pobranie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zad3!$K$6:$K$16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zad3!$L$6:$L$16</c:f>
              <c:numCache>
                <c:formatCode>General</c:formatCode>
                <c:ptCount val="10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C-4601-9D4D-F7D53A0ACD0C}"/>
            </c:ext>
          </c:extLst>
        </c:ser>
        <c:ser>
          <c:idx val="1"/>
          <c:order val="1"/>
          <c:tx>
            <c:strRef>
              <c:f>zad3!$M$5</c:f>
              <c:strCache>
                <c:ptCount val="1"/>
                <c:pt idx="0">
                  <c:v>Średnia z oddanie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zad3!$K$6:$K$16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zad3!$M$6:$M$16</c:f>
              <c:numCache>
                <c:formatCode>General</c:formatCode>
                <c:ptCount val="10"/>
                <c:pt idx="0">
                  <c:v>1.0867741935483872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C-4601-9D4D-F7D53A0ACD0C}"/>
            </c:ext>
          </c:extLst>
        </c:ser>
        <c:ser>
          <c:idx val="2"/>
          <c:order val="2"/>
          <c:tx>
            <c:strRef>
              <c:f>zad3!$N$5</c:f>
              <c:strCache>
                <c:ptCount val="1"/>
                <c:pt idx="0">
                  <c:v>Średnia z produkcja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zad3!$K$6:$K$16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zad3!$N$6:$N$16</c:f>
              <c:numCache>
                <c:formatCode>General</c:formatCode>
                <c:ptCount val="10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BC-4601-9D4D-F7D53A0AC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52816"/>
        <c:axId val="1385849936"/>
      </c:lineChart>
      <c:catAx>
        <c:axId val="138585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nasłonecznienias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5849936"/>
        <c:crosses val="autoZero"/>
        <c:auto val="1"/>
        <c:lblAlgn val="ctr"/>
        <c:lblOffset val="100"/>
        <c:noMultiLvlLbl val="0"/>
      </c:catAx>
      <c:valAx>
        <c:axId val="138584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585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19</xdr:row>
      <xdr:rowOff>80962</xdr:rowOff>
    </xdr:from>
    <xdr:to>
      <xdr:col>13</xdr:col>
      <xdr:colOff>1143000</xdr:colOff>
      <xdr:row>33</xdr:row>
      <xdr:rowOff>157162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55F2DD6-B676-9036-80CD-9ADEDAE66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a Hasse" refreshedDate="46072.70836365741" createdVersion="8" refreshedVersion="8" minRefreshableVersion="3" recordCount="365" xr:uid="{D01926CA-BCC5-4258-BB56-1DD147828AB0}">
  <cacheSource type="worksheet">
    <worksheetSource ref="A1:H366" sheet="zad3"/>
  </cacheSource>
  <cacheFields count="8">
    <cacheField name="data" numFmtId="14">
      <sharedItems containsSemiMixedTypes="0" containsNonDate="0" containsDate="1" containsString="0" minDate="2022-01-01T00:00:00" maxDate="2023-01-01T00:00:00"/>
    </cacheField>
    <cacheField name="wsch" numFmtId="164">
      <sharedItems containsSemiMixedTypes="0" containsNonDate="0" containsDate="1" containsString="0" minDate="1899-12-30T04:11:48" maxDate="1899-12-30T07:43:03"/>
    </cacheField>
    <cacheField name="zach" numFmtId="164">
      <sharedItems containsSemiMixedTypes="0" containsNonDate="0" containsDate="1" containsString="0" minDate="1899-12-30T15:25:28" maxDate="1899-12-30T21:03:44"/>
    </cacheField>
    <cacheField name="st_zach" numFmtId="0">
      <sharedItems containsSemiMixedTypes="0" containsString="0" containsNumber="1" containsInteger="1" minValue="0" maxValue="8"/>
    </cacheField>
    <cacheField name="produkcja" numFmtId="0">
      <sharedItems containsSemiMixedTypes="0" containsString="0" containsNumber="1" minValue="0.26" maxValue="19.920000000000002"/>
    </cacheField>
    <cacheField name="oddanie" numFmtId="0">
      <sharedItems containsSemiMixedTypes="0" containsString="0" containsNumber="1" minValue="0" maxValue="12.94"/>
    </cacheField>
    <cacheField name="pobranie" numFmtId="0">
      <sharedItems containsSemiMixedTypes="0" containsString="0" containsNumber="1" minValue="0.21" maxValue="7.02"/>
    </cacheField>
    <cacheField name="naslonecznienie" numFmtId="0">
      <sharedItems containsSemiMixedTypes="0" containsString="0" containsNumber="1" containsInteger="1" minValue="7" maxValue="16" count="10">
        <n v="7"/>
        <n v="8"/>
        <n v="9"/>
        <n v="10"/>
        <n v="11"/>
        <n v="12"/>
        <n v="13"/>
        <n v="14"/>
        <n v="15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d v="1899-12-30T07:42:56"/>
    <d v="1899-12-30T15:36:07"/>
    <n v="0"/>
    <n v="7.78"/>
    <n v="3.29"/>
    <n v="4.5599999999999996"/>
    <x v="0"/>
  </r>
  <r>
    <d v="2022-01-02T00:00:00"/>
    <d v="1899-12-30T07:42:47"/>
    <d v="1899-12-30T15:37:12"/>
    <n v="4"/>
    <n v="4.47"/>
    <n v="1.23"/>
    <n v="3.99"/>
    <x v="0"/>
  </r>
  <r>
    <d v="2022-01-03T00:00:00"/>
    <d v="1899-12-30T07:42:35"/>
    <d v="1899-12-30T15:38:20"/>
    <n v="4"/>
    <n v="6.02"/>
    <n v="4.74"/>
    <n v="2.56"/>
    <x v="0"/>
  </r>
  <r>
    <d v="2022-01-04T00:00:00"/>
    <d v="1899-12-30T07:42:19"/>
    <d v="1899-12-30T15:39:30"/>
    <n v="6"/>
    <n v="2.63"/>
    <n v="1.22"/>
    <n v="5.22"/>
    <x v="0"/>
  </r>
  <r>
    <d v="2022-01-05T00:00:00"/>
    <d v="1899-12-30T07:42:00"/>
    <d v="1899-12-30T15:40:43"/>
    <n v="2"/>
    <n v="7.99"/>
    <n v="5.68"/>
    <n v="4.22"/>
    <x v="0"/>
  </r>
  <r>
    <d v="2022-01-06T00:00:00"/>
    <d v="1899-12-30T07:41:38"/>
    <d v="1899-12-30T15:41:58"/>
    <n v="3"/>
    <n v="4.6500000000000004"/>
    <n v="3.24"/>
    <n v="2.57"/>
    <x v="1"/>
  </r>
  <r>
    <d v="2022-01-07T00:00:00"/>
    <d v="1899-12-30T07:41:12"/>
    <d v="1899-12-30T15:43:16"/>
    <n v="1"/>
    <n v="7.91"/>
    <n v="2.34"/>
    <n v="2.2200000000000002"/>
    <x v="1"/>
  </r>
  <r>
    <d v="2022-01-08T00:00:00"/>
    <d v="1899-12-30T07:40:43"/>
    <d v="1899-12-30T15:44:36"/>
    <n v="1"/>
    <n v="7.24"/>
    <n v="2.58"/>
    <n v="2.4700000000000002"/>
    <x v="1"/>
  </r>
  <r>
    <d v="2022-01-09T00:00:00"/>
    <d v="1899-12-30T07:40:11"/>
    <d v="1899-12-30T15:45:59"/>
    <n v="1"/>
    <n v="7.96"/>
    <n v="2.74"/>
    <n v="1.95"/>
    <x v="1"/>
  </r>
  <r>
    <d v="2022-01-10T00:00:00"/>
    <d v="1899-12-30T07:39:35"/>
    <d v="1899-12-30T15:47:23"/>
    <n v="3"/>
    <n v="2.37"/>
    <n v="0.96"/>
    <n v="2.3199999999999998"/>
    <x v="1"/>
  </r>
  <r>
    <d v="2022-01-11T00:00:00"/>
    <d v="1899-12-30T07:38:56"/>
    <d v="1899-12-30T15:48:50"/>
    <n v="5"/>
    <n v="1.56"/>
    <n v="0.45"/>
    <n v="3.21"/>
    <x v="1"/>
  </r>
  <r>
    <d v="2022-01-12T00:00:00"/>
    <d v="1899-12-30T07:38:14"/>
    <d v="1899-12-30T15:50:18"/>
    <n v="6"/>
    <n v="1.27"/>
    <n v="0.22"/>
    <n v="3.34"/>
    <x v="1"/>
  </r>
  <r>
    <d v="2022-01-13T00:00:00"/>
    <d v="1899-12-30T07:37:29"/>
    <d v="1899-12-30T15:51:49"/>
    <n v="0"/>
    <n v="8.6300000000000008"/>
    <n v="3.47"/>
    <n v="2.2599999999999998"/>
    <x v="1"/>
  </r>
  <r>
    <d v="2022-01-14T00:00:00"/>
    <d v="1899-12-30T07:36:41"/>
    <d v="1899-12-30T15:53:21"/>
    <n v="1"/>
    <n v="7.36"/>
    <n v="2.2200000000000002"/>
    <n v="2.56"/>
    <x v="1"/>
  </r>
  <r>
    <d v="2022-01-15T00:00:00"/>
    <d v="1899-12-30T07:35:50"/>
    <d v="1899-12-30T15:54:55"/>
    <n v="5"/>
    <n v="2.11"/>
    <n v="0.45"/>
    <n v="2.21"/>
    <x v="1"/>
  </r>
  <r>
    <d v="2022-01-16T00:00:00"/>
    <d v="1899-12-30T07:34:56"/>
    <d v="1899-12-30T15:56:31"/>
    <n v="3"/>
    <n v="5.31"/>
    <n v="3.45"/>
    <n v="1.22"/>
    <x v="1"/>
  </r>
  <r>
    <d v="2022-01-17T00:00:00"/>
    <d v="1899-12-30T07:33:59"/>
    <d v="1899-12-30T15:58:08"/>
    <n v="2"/>
    <n v="5.93"/>
    <n v="1.25"/>
    <n v="3.34"/>
    <x v="1"/>
  </r>
  <r>
    <d v="2022-01-18T00:00:00"/>
    <d v="1899-12-30T07:32:59"/>
    <d v="1899-12-30T15:59:46"/>
    <n v="6"/>
    <n v="2.19"/>
    <n v="0.21"/>
    <n v="3.22"/>
    <x v="1"/>
  </r>
  <r>
    <d v="2022-01-19T00:00:00"/>
    <d v="1899-12-30T07:31:56"/>
    <d v="1899-12-30T16:01:26"/>
    <n v="4"/>
    <n v="3.53"/>
    <n v="0.34"/>
    <n v="1.25"/>
    <x v="1"/>
  </r>
  <r>
    <d v="2022-01-20T00:00:00"/>
    <d v="1899-12-30T07:30:51"/>
    <d v="1899-12-30T16:03:07"/>
    <n v="3"/>
    <n v="4.33"/>
    <n v="0.99"/>
    <n v="0.21"/>
    <x v="1"/>
  </r>
  <r>
    <d v="2022-01-21T00:00:00"/>
    <d v="1899-12-30T07:29:43"/>
    <d v="1899-12-30T16:04:50"/>
    <n v="6"/>
    <n v="2.33"/>
    <n v="0.02"/>
    <n v="2.61"/>
    <x v="1"/>
  </r>
  <r>
    <d v="2022-01-22T00:00:00"/>
    <d v="1899-12-30T07:28:32"/>
    <d v="1899-12-30T16:06:33"/>
    <n v="6"/>
    <n v="3.21"/>
    <n v="0.78"/>
    <n v="2.2200000000000002"/>
    <x v="1"/>
  </r>
  <r>
    <d v="2022-01-23T00:00:00"/>
    <d v="1899-12-30T07:27:19"/>
    <d v="1899-12-30T16:08:18"/>
    <n v="5"/>
    <n v="4.0199999999999996"/>
    <n v="2.0099999999999998"/>
    <n v="1.01"/>
    <x v="1"/>
  </r>
  <r>
    <d v="2022-01-24T00:00:00"/>
    <d v="1899-12-30T07:26:03"/>
    <d v="1899-12-30T16:10:03"/>
    <n v="4"/>
    <n v="4.45"/>
    <n v="2.34"/>
    <n v="1.95"/>
    <x v="1"/>
  </r>
  <r>
    <d v="2022-01-25T00:00:00"/>
    <d v="1899-12-30T07:24:44"/>
    <d v="1899-12-30T16:11:49"/>
    <n v="3"/>
    <n v="5.52"/>
    <n v="2.21"/>
    <n v="1.21"/>
    <x v="1"/>
  </r>
  <r>
    <d v="2022-01-26T00:00:00"/>
    <d v="1899-12-30T07:23:24"/>
    <d v="1899-12-30T16:13:37"/>
    <n v="2"/>
    <n v="5.1100000000000003"/>
    <n v="2.02"/>
    <n v="1.35"/>
    <x v="1"/>
  </r>
  <r>
    <d v="2022-01-27T00:00:00"/>
    <d v="1899-12-30T07:22:01"/>
    <d v="1899-12-30T16:15:25"/>
    <n v="1"/>
    <n v="4.97"/>
    <n v="1.92"/>
    <n v="2.0099999999999998"/>
    <x v="1"/>
  </r>
  <r>
    <d v="2022-01-28T00:00:00"/>
    <d v="1899-12-30T07:20:35"/>
    <d v="1899-12-30T16:17:13"/>
    <n v="1"/>
    <n v="5.67"/>
    <n v="3.21"/>
    <n v="1.01"/>
    <x v="1"/>
  </r>
  <r>
    <d v="2022-01-29T00:00:00"/>
    <d v="1899-12-30T07:19:07"/>
    <d v="1899-12-30T16:19:02"/>
    <n v="1"/>
    <n v="5.76"/>
    <n v="3.33"/>
    <n v="2.0099999999999998"/>
    <x v="1"/>
  </r>
  <r>
    <d v="2022-01-30T00:00:00"/>
    <d v="1899-12-30T07:17:38"/>
    <d v="1899-12-30T16:20:52"/>
    <n v="2"/>
    <n v="5.97"/>
    <n v="3.48"/>
    <n v="1.93"/>
    <x v="2"/>
  </r>
  <r>
    <d v="2022-01-31T00:00:00"/>
    <d v="1899-12-30T07:16:06"/>
    <d v="1899-12-30T16:22:42"/>
    <n v="1"/>
    <n v="6.01"/>
    <n v="2.34"/>
    <n v="0.94"/>
    <x v="2"/>
  </r>
  <r>
    <d v="2022-02-01T00:00:00"/>
    <d v="1899-12-30T07:14:32"/>
    <d v="1899-12-30T16:24:33"/>
    <n v="1"/>
    <n v="6.18"/>
    <n v="1.34"/>
    <n v="1.28"/>
    <x v="2"/>
  </r>
  <r>
    <d v="2022-02-02T00:00:00"/>
    <d v="1899-12-30T07:12:56"/>
    <d v="1899-12-30T16:26:24"/>
    <n v="1"/>
    <n v="7.25"/>
    <n v="1.57"/>
    <n v="1.01"/>
    <x v="2"/>
  </r>
  <r>
    <d v="2022-02-03T00:00:00"/>
    <d v="1899-12-30T07:11:18"/>
    <d v="1899-12-30T16:28:16"/>
    <n v="4"/>
    <n v="3.63"/>
    <n v="1.21"/>
    <n v="2.25"/>
    <x v="2"/>
  </r>
  <r>
    <d v="2022-02-04T00:00:00"/>
    <d v="1899-12-30T07:09:38"/>
    <d v="1899-12-30T16:30:07"/>
    <n v="1"/>
    <n v="7.8"/>
    <n v="3.34"/>
    <n v="2.94"/>
    <x v="2"/>
  </r>
  <r>
    <d v="2022-02-05T00:00:00"/>
    <d v="1899-12-30T07:07:56"/>
    <d v="1899-12-30T16:31:59"/>
    <n v="2"/>
    <n v="5.0199999999999996"/>
    <n v="2.13"/>
    <n v="3.1"/>
    <x v="2"/>
  </r>
  <r>
    <d v="2022-02-06T00:00:00"/>
    <d v="1899-12-30T07:06:12"/>
    <d v="1899-12-30T16:33:51"/>
    <n v="1"/>
    <n v="6.87"/>
    <n v="2.89"/>
    <n v="3.34"/>
    <x v="2"/>
  </r>
  <r>
    <d v="2022-02-07T00:00:00"/>
    <d v="1899-12-30T07:04:27"/>
    <d v="1899-12-30T16:35:44"/>
    <n v="1"/>
    <n v="7.59"/>
    <n v="2.56"/>
    <n v="2.78"/>
    <x v="2"/>
  </r>
  <r>
    <d v="2022-02-08T00:00:00"/>
    <d v="1899-12-30T07:02:40"/>
    <d v="1899-12-30T16:37:36"/>
    <n v="1"/>
    <n v="7.84"/>
    <n v="2.63"/>
    <n v="2.19"/>
    <x v="2"/>
  </r>
  <r>
    <d v="2022-02-09T00:00:00"/>
    <d v="1899-12-30T07:00:52"/>
    <d v="1899-12-30T16:39:29"/>
    <n v="6"/>
    <n v="2.93"/>
    <n v="1.1299999999999999"/>
    <n v="3.1"/>
    <x v="2"/>
  </r>
  <r>
    <d v="2022-02-10T00:00:00"/>
    <d v="1899-12-30T06:59:01"/>
    <d v="1899-12-30T16:41:21"/>
    <n v="7"/>
    <n v="1.24"/>
    <n v="0.3"/>
    <n v="2.14"/>
    <x v="2"/>
  </r>
  <r>
    <d v="2022-02-11T00:00:00"/>
    <d v="1899-12-30T06:57:10"/>
    <d v="1899-12-30T16:43:14"/>
    <n v="8"/>
    <n v="0.26"/>
    <n v="0"/>
    <n v="4.8600000000000003"/>
    <x v="2"/>
  </r>
  <r>
    <d v="2022-02-12T00:00:00"/>
    <d v="1899-12-30T06:55:16"/>
    <d v="1899-12-30T16:45:06"/>
    <n v="2"/>
    <n v="5.79"/>
    <n v="1.7"/>
    <n v="0.8"/>
    <x v="2"/>
  </r>
  <r>
    <d v="2022-02-13T00:00:00"/>
    <d v="1899-12-30T06:53:22"/>
    <d v="1899-12-30T16:46:58"/>
    <n v="3"/>
    <n v="5.26"/>
    <n v="1.42"/>
    <n v="2.34"/>
    <x v="2"/>
  </r>
  <r>
    <d v="2022-02-14T00:00:00"/>
    <d v="1899-12-30T06:51:25"/>
    <d v="1899-12-30T16:48:51"/>
    <n v="2"/>
    <n v="5.62"/>
    <n v="2.41"/>
    <n v="2.59"/>
    <x v="2"/>
  </r>
  <r>
    <d v="2022-02-15T00:00:00"/>
    <d v="1899-12-30T06:49:28"/>
    <d v="1899-12-30T16:50:43"/>
    <n v="4"/>
    <n v="3.58"/>
    <n v="1.63"/>
    <n v="3.21"/>
    <x v="3"/>
  </r>
  <r>
    <d v="2022-02-16T00:00:00"/>
    <d v="1899-12-30T06:47:29"/>
    <d v="1899-12-30T16:52:35"/>
    <n v="7"/>
    <n v="1.1599999999999999"/>
    <n v="0.25"/>
    <n v="2.1"/>
    <x v="3"/>
  </r>
  <r>
    <d v="2022-02-17T00:00:00"/>
    <d v="1899-12-30T06:45:29"/>
    <d v="1899-12-30T16:54:27"/>
    <n v="1"/>
    <n v="8.59"/>
    <n v="3.68"/>
    <n v="2.36"/>
    <x v="3"/>
  </r>
  <r>
    <d v="2022-02-18T00:00:00"/>
    <d v="1899-12-30T06:43:28"/>
    <d v="1899-12-30T16:56:18"/>
    <n v="3"/>
    <n v="4.24"/>
    <n v="1.27"/>
    <n v="3.09"/>
    <x v="3"/>
  </r>
  <r>
    <d v="2022-02-19T00:00:00"/>
    <d v="1899-12-30T06:41:26"/>
    <d v="1899-12-30T16:58:10"/>
    <n v="6"/>
    <n v="2.1800000000000002"/>
    <n v="0.9"/>
    <n v="3.17"/>
    <x v="3"/>
  </r>
  <r>
    <d v="2022-02-20T00:00:00"/>
    <d v="1899-12-30T06:39:22"/>
    <d v="1899-12-30T17:00:01"/>
    <n v="0"/>
    <n v="9.14"/>
    <n v="2.74"/>
    <n v="1.96"/>
    <x v="3"/>
  </r>
  <r>
    <d v="2022-02-21T00:00:00"/>
    <d v="1899-12-30T06:37:18"/>
    <d v="1899-12-30T17:01:52"/>
    <n v="0"/>
    <n v="9.85"/>
    <n v="3.02"/>
    <n v="2.46"/>
    <x v="3"/>
  </r>
  <r>
    <d v="2022-02-22T00:00:00"/>
    <d v="1899-12-30T06:35:12"/>
    <d v="1899-12-30T17:03:43"/>
    <n v="1"/>
    <n v="9.2899999999999991"/>
    <n v="2.79"/>
    <n v="1.49"/>
    <x v="3"/>
  </r>
  <r>
    <d v="2022-02-23T00:00:00"/>
    <d v="1899-12-30T06:33:05"/>
    <d v="1899-12-30T17:05:34"/>
    <n v="4"/>
    <n v="2.57"/>
    <n v="0.76"/>
    <n v="4.03"/>
    <x v="3"/>
  </r>
  <r>
    <d v="2022-02-24T00:00:00"/>
    <d v="1899-12-30T06:30:58"/>
    <d v="1899-12-30T17:07:24"/>
    <n v="0"/>
    <n v="9.64"/>
    <n v="3.82"/>
    <n v="2.36"/>
    <x v="3"/>
  </r>
  <r>
    <d v="2022-02-25T00:00:00"/>
    <d v="1899-12-30T06:28:49"/>
    <d v="1899-12-30T17:09:14"/>
    <n v="0"/>
    <n v="9.35"/>
    <n v="3.73"/>
    <n v="2.1800000000000002"/>
    <x v="3"/>
  </r>
  <r>
    <d v="2022-02-26T00:00:00"/>
    <d v="1899-12-30T06:26:40"/>
    <d v="1899-12-30T17:11:04"/>
    <n v="0"/>
    <n v="8.76"/>
    <n v="3.92"/>
    <n v="2.4"/>
    <x v="3"/>
  </r>
  <r>
    <d v="2022-02-27T00:00:00"/>
    <d v="1899-12-30T06:24:29"/>
    <d v="1899-12-30T17:12:53"/>
    <n v="0"/>
    <n v="9.77"/>
    <n v="3.26"/>
    <n v="1.3"/>
    <x v="3"/>
  </r>
  <r>
    <d v="2022-02-28T00:00:00"/>
    <d v="1899-12-30T06:22:18"/>
    <d v="1899-12-30T17:14:43"/>
    <n v="5"/>
    <n v="2.93"/>
    <n v="1.03"/>
    <n v="2.99"/>
    <x v="3"/>
  </r>
  <r>
    <d v="2022-03-01T00:00:00"/>
    <d v="1899-12-30T06:20:07"/>
    <d v="1899-12-30T17:16:32"/>
    <n v="2"/>
    <n v="4.66"/>
    <n v="1.37"/>
    <n v="2.0499999999999998"/>
    <x v="3"/>
  </r>
  <r>
    <d v="2022-03-02T00:00:00"/>
    <d v="1899-12-30T06:17:54"/>
    <d v="1899-12-30T17:18:20"/>
    <n v="6"/>
    <n v="2.99"/>
    <n v="0.74"/>
    <n v="1.48"/>
    <x v="4"/>
  </r>
  <r>
    <d v="2022-03-03T00:00:00"/>
    <d v="1899-12-30T06:15:41"/>
    <d v="1899-12-30T17:20:09"/>
    <n v="7"/>
    <n v="1.1399999999999999"/>
    <n v="0.22"/>
    <n v="3.27"/>
    <x v="4"/>
  </r>
  <r>
    <d v="2022-03-04T00:00:00"/>
    <d v="1899-12-30T06:13:27"/>
    <d v="1899-12-30T17:21:57"/>
    <n v="0"/>
    <n v="9.7100000000000009"/>
    <n v="3.95"/>
    <n v="1.96"/>
    <x v="4"/>
  </r>
  <r>
    <d v="2022-03-05T00:00:00"/>
    <d v="1899-12-30T06:11:12"/>
    <d v="1899-12-30T17:23:45"/>
    <n v="0"/>
    <n v="9.92"/>
    <n v="3.01"/>
    <n v="1.52"/>
    <x v="4"/>
  </r>
  <r>
    <d v="2022-03-06T00:00:00"/>
    <d v="1899-12-30T06:08:57"/>
    <d v="1899-12-30T17:25:33"/>
    <n v="1"/>
    <n v="9.66"/>
    <n v="2.79"/>
    <n v="1.24"/>
    <x v="4"/>
  </r>
  <r>
    <d v="2022-03-07T00:00:00"/>
    <d v="1899-12-30T06:06:41"/>
    <d v="1899-12-30T17:27:20"/>
    <n v="4"/>
    <n v="3.6"/>
    <n v="1.68"/>
    <n v="2.75"/>
    <x v="4"/>
  </r>
  <r>
    <d v="2022-03-08T00:00:00"/>
    <d v="1899-12-30T06:04:25"/>
    <d v="1899-12-30T17:29:07"/>
    <n v="2"/>
    <n v="4.9000000000000004"/>
    <n v="2.5299999999999998"/>
    <n v="2.46"/>
    <x v="4"/>
  </r>
  <r>
    <d v="2022-03-09T00:00:00"/>
    <d v="1899-12-30T06:02:08"/>
    <d v="1899-12-30T17:30:54"/>
    <n v="3"/>
    <n v="3.29"/>
    <n v="0.73"/>
    <n v="2.4300000000000002"/>
    <x v="4"/>
  </r>
  <r>
    <d v="2022-03-10T00:00:00"/>
    <d v="1899-12-30T05:59:51"/>
    <d v="1899-12-30T17:32:41"/>
    <n v="1"/>
    <n v="7.92"/>
    <n v="1.58"/>
    <n v="1.63"/>
    <x v="4"/>
  </r>
  <r>
    <d v="2022-03-11T00:00:00"/>
    <d v="1899-12-30T05:57:34"/>
    <d v="1899-12-30T17:34:27"/>
    <n v="4"/>
    <n v="2.99"/>
    <n v="1.05"/>
    <n v="2.89"/>
    <x v="4"/>
  </r>
  <r>
    <d v="2022-03-12T00:00:00"/>
    <d v="1899-12-30T05:55:15"/>
    <d v="1899-12-30T17:36:13"/>
    <n v="0"/>
    <n v="11.09"/>
    <n v="3.46"/>
    <n v="1.28"/>
    <x v="4"/>
  </r>
  <r>
    <d v="2022-03-13T00:00:00"/>
    <d v="1899-12-30T05:52:57"/>
    <d v="1899-12-30T17:37:59"/>
    <n v="0"/>
    <n v="12.5"/>
    <n v="3.14"/>
    <n v="1.24"/>
    <x v="4"/>
  </r>
  <r>
    <d v="2022-03-14T00:00:00"/>
    <d v="1899-12-30T05:50:38"/>
    <d v="1899-12-30T17:39:45"/>
    <n v="2"/>
    <n v="5.32"/>
    <n v="2.64"/>
    <n v="3.06"/>
    <x v="4"/>
  </r>
  <r>
    <d v="2022-03-15T00:00:00"/>
    <d v="1899-12-30T05:48:19"/>
    <d v="1899-12-30T17:41:31"/>
    <n v="6"/>
    <n v="3.14"/>
    <n v="1.73"/>
    <n v="3.82"/>
    <x v="4"/>
  </r>
  <r>
    <d v="2022-03-16T00:00:00"/>
    <d v="1899-12-30T05:46:00"/>
    <d v="1899-12-30T17:43:16"/>
    <n v="0"/>
    <n v="12.41"/>
    <n v="3.85"/>
    <n v="0.67"/>
    <x v="4"/>
  </r>
  <r>
    <d v="2022-03-17T00:00:00"/>
    <d v="1899-12-30T05:43:41"/>
    <d v="1899-12-30T17:45:01"/>
    <n v="4"/>
    <n v="3.11"/>
    <n v="2.14"/>
    <n v="4.2"/>
    <x v="5"/>
  </r>
  <r>
    <d v="2022-03-18T00:00:00"/>
    <d v="1899-12-30T05:41:21"/>
    <d v="1899-12-30T17:46:46"/>
    <n v="0"/>
    <n v="11.14"/>
    <n v="3.57"/>
    <n v="1.4"/>
    <x v="5"/>
  </r>
  <r>
    <d v="2022-03-19T00:00:00"/>
    <d v="1899-12-30T05:39:01"/>
    <d v="1899-12-30T17:48:31"/>
    <n v="0"/>
    <n v="14.64"/>
    <n v="3.79"/>
    <n v="0.42"/>
    <x v="5"/>
  </r>
  <r>
    <d v="2022-03-20T00:00:00"/>
    <d v="1899-12-30T05:36:41"/>
    <d v="1899-12-30T17:50:16"/>
    <n v="0"/>
    <n v="12.39"/>
    <n v="3.87"/>
    <n v="1.02"/>
    <x v="5"/>
  </r>
  <r>
    <d v="2022-03-21T00:00:00"/>
    <d v="1899-12-30T05:34:21"/>
    <d v="1899-12-30T17:52:00"/>
    <n v="3"/>
    <n v="3.56"/>
    <n v="1.4"/>
    <n v="3.29"/>
    <x v="5"/>
  </r>
  <r>
    <d v="2022-03-22T00:00:00"/>
    <d v="1899-12-30T05:32:01"/>
    <d v="1899-12-30T17:53:45"/>
    <n v="5"/>
    <n v="3.59"/>
    <n v="2.0099999999999998"/>
    <n v="3.66"/>
    <x v="5"/>
  </r>
  <r>
    <d v="2022-03-23T00:00:00"/>
    <d v="1899-12-30T05:29:40"/>
    <d v="1899-12-30T17:55:29"/>
    <n v="0"/>
    <n v="12.04"/>
    <n v="3.72"/>
    <n v="1.59"/>
    <x v="5"/>
  </r>
  <r>
    <d v="2022-03-24T00:00:00"/>
    <d v="1899-12-30T05:27:20"/>
    <d v="1899-12-30T17:57:13"/>
    <n v="0"/>
    <n v="12.54"/>
    <n v="3.69"/>
    <n v="1.05"/>
    <x v="5"/>
  </r>
  <r>
    <d v="2022-03-25T00:00:00"/>
    <d v="1899-12-30T05:25:00"/>
    <d v="1899-12-30T17:58:58"/>
    <n v="3"/>
    <n v="3.96"/>
    <n v="2.59"/>
    <n v="3.5"/>
    <x v="5"/>
  </r>
  <r>
    <d v="2022-03-26T00:00:00"/>
    <d v="1899-12-30T05:22:39"/>
    <d v="1899-12-30T18:00:42"/>
    <n v="0"/>
    <n v="12.15"/>
    <n v="3.61"/>
    <n v="0.86"/>
    <x v="5"/>
  </r>
  <r>
    <d v="2022-03-27T00:00:00"/>
    <d v="1899-12-30T06:20:19"/>
    <d v="1899-12-30T19:02:26"/>
    <n v="0"/>
    <n v="10.83"/>
    <n v="3.78"/>
    <n v="2.4700000000000002"/>
    <x v="5"/>
  </r>
  <r>
    <d v="2022-03-28T00:00:00"/>
    <d v="1899-12-30T06:17:59"/>
    <d v="1899-12-30T19:04:10"/>
    <n v="4"/>
    <n v="4.42"/>
    <n v="3.15"/>
    <n v="3.62"/>
    <x v="5"/>
  </r>
  <r>
    <d v="2022-03-29T00:00:00"/>
    <d v="1899-12-30T06:15:39"/>
    <d v="1899-12-30T19:05:53"/>
    <n v="7"/>
    <n v="1.83"/>
    <n v="0.6"/>
    <n v="2.89"/>
    <x v="5"/>
  </r>
  <r>
    <d v="2022-03-30T00:00:00"/>
    <d v="1899-12-30T06:13:19"/>
    <d v="1899-12-30T19:07:37"/>
    <n v="0"/>
    <n v="10.86"/>
    <n v="3.24"/>
    <n v="1.57"/>
    <x v="5"/>
  </r>
  <r>
    <d v="2022-03-31T00:00:00"/>
    <d v="1899-12-30T06:11:00"/>
    <d v="1899-12-30T19:09:21"/>
    <n v="0"/>
    <n v="10.73"/>
    <n v="3.02"/>
    <n v="2.14"/>
    <x v="5"/>
  </r>
  <r>
    <d v="2022-04-01T00:00:00"/>
    <d v="1899-12-30T06:08:40"/>
    <d v="1899-12-30T19:11:05"/>
    <n v="3"/>
    <n v="5.21"/>
    <n v="2.46"/>
    <n v="2.89"/>
    <x v="6"/>
  </r>
  <r>
    <d v="2022-04-02T00:00:00"/>
    <d v="1899-12-30T06:06:21"/>
    <d v="1899-12-30T19:12:48"/>
    <n v="0"/>
    <n v="11.83"/>
    <n v="3.14"/>
    <n v="1.08"/>
    <x v="6"/>
  </r>
  <r>
    <d v="2022-04-03T00:00:00"/>
    <d v="1899-12-30T06:04:02"/>
    <d v="1899-12-30T19:14:32"/>
    <n v="6"/>
    <n v="2.3199999999999998"/>
    <n v="1.08"/>
    <n v="4.09"/>
    <x v="6"/>
  </r>
  <r>
    <d v="2022-04-04T00:00:00"/>
    <d v="1899-12-30T06:01:44"/>
    <d v="1899-12-30T19:16:16"/>
    <n v="2"/>
    <n v="6.34"/>
    <n v="3.25"/>
    <n v="2.0099999999999998"/>
    <x v="6"/>
  </r>
  <r>
    <d v="2022-04-05T00:00:00"/>
    <d v="1899-12-30T05:59:25"/>
    <d v="1899-12-30T19:17:59"/>
    <n v="4"/>
    <n v="4.87"/>
    <n v="1.47"/>
    <n v="1.86"/>
    <x v="6"/>
  </r>
  <r>
    <d v="2022-04-06T00:00:00"/>
    <d v="1899-12-30T05:57:08"/>
    <d v="1899-12-30T19:19:43"/>
    <n v="4"/>
    <n v="3.57"/>
    <n v="0.16"/>
    <n v="2.94"/>
    <x v="6"/>
  </r>
  <r>
    <d v="2022-04-07T00:00:00"/>
    <d v="1899-12-30T05:54:50"/>
    <d v="1899-12-30T19:21:27"/>
    <n v="2"/>
    <n v="6.61"/>
    <n v="2.5099999999999998"/>
    <n v="1.34"/>
    <x v="6"/>
  </r>
  <r>
    <d v="2022-04-08T00:00:00"/>
    <d v="1899-12-30T05:52:33"/>
    <d v="1899-12-30T19:23:10"/>
    <n v="0"/>
    <n v="14.15"/>
    <n v="3.32"/>
    <n v="1.82"/>
    <x v="6"/>
  </r>
  <r>
    <d v="2022-04-09T00:00:00"/>
    <d v="1899-12-30T05:50:17"/>
    <d v="1899-12-30T19:24:54"/>
    <n v="0"/>
    <n v="10.3"/>
    <n v="3.31"/>
    <n v="4.1500000000000004"/>
    <x v="6"/>
  </r>
  <r>
    <d v="2022-04-10T00:00:00"/>
    <d v="1899-12-30T05:48:01"/>
    <d v="1899-12-30T19:26:38"/>
    <n v="0"/>
    <n v="10.039999999999999"/>
    <n v="3.85"/>
    <n v="3.16"/>
    <x v="6"/>
  </r>
  <r>
    <d v="2022-04-11T00:00:00"/>
    <d v="1899-12-30T05:45:45"/>
    <d v="1899-12-30T19:28:21"/>
    <n v="4"/>
    <n v="3.82"/>
    <n v="1.64"/>
    <n v="3.12"/>
    <x v="6"/>
  </r>
  <r>
    <d v="2022-04-12T00:00:00"/>
    <d v="1899-12-30T05:43:30"/>
    <d v="1899-12-30T19:30:05"/>
    <n v="1"/>
    <n v="7.92"/>
    <n v="3.79"/>
    <n v="3.05"/>
    <x v="6"/>
  </r>
  <r>
    <d v="2022-04-13T00:00:00"/>
    <d v="1899-12-30T05:41:16"/>
    <d v="1899-12-30T19:31:49"/>
    <n v="1"/>
    <n v="7.5"/>
    <n v="3.12"/>
    <n v="2.94"/>
    <x v="6"/>
  </r>
  <r>
    <d v="2022-04-14T00:00:00"/>
    <d v="1899-12-30T05:39:02"/>
    <d v="1899-12-30T19:33:32"/>
    <n v="0"/>
    <n v="12.58"/>
    <n v="3.42"/>
    <n v="2.0499999999999998"/>
    <x v="6"/>
  </r>
  <r>
    <d v="2022-04-15T00:00:00"/>
    <d v="1899-12-30T05:36:49"/>
    <d v="1899-12-30T19:35:16"/>
    <n v="2"/>
    <n v="7.66"/>
    <n v="3.41"/>
    <n v="1.68"/>
    <x v="6"/>
  </r>
  <r>
    <d v="2022-04-16T00:00:00"/>
    <d v="1899-12-30T05:34:37"/>
    <d v="1899-12-30T19:37:00"/>
    <n v="4"/>
    <n v="4.16"/>
    <n v="1.58"/>
    <n v="2.89"/>
    <x v="7"/>
  </r>
  <r>
    <d v="2022-04-17T00:00:00"/>
    <d v="1899-12-30T05:32:25"/>
    <d v="1899-12-30T19:38:44"/>
    <n v="6"/>
    <n v="2.34"/>
    <n v="1.06"/>
    <n v="2.46"/>
    <x v="7"/>
  </r>
  <r>
    <d v="2022-04-18T00:00:00"/>
    <d v="1899-12-30T05:30:15"/>
    <d v="1899-12-30T19:40:27"/>
    <n v="6"/>
    <n v="2.42"/>
    <n v="1.24"/>
    <n v="2.97"/>
    <x v="7"/>
  </r>
  <r>
    <d v="2022-04-19T00:00:00"/>
    <d v="1899-12-30T05:28:05"/>
    <d v="1899-12-30T19:42:11"/>
    <n v="4"/>
    <n v="3.78"/>
    <n v="2.0699999999999998"/>
    <n v="2.93"/>
    <x v="7"/>
  </r>
  <r>
    <d v="2022-04-20T00:00:00"/>
    <d v="1899-12-30T05:25:56"/>
    <d v="1899-12-30T19:43:54"/>
    <n v="1"/>
    <n v="7.54"/>
    <n v="2.57"/>
    <n v="2.06"/>
    <x v="7"/>
  </r>
  <r>
    <d v="2022-04-21T00:00:00"/>
    <d v="1899-12-30T05:23:48"/>
    <d v="1899-12-30T19:45:38"/>
    <n v="0"/>
    <n v="13.18"/>
    <n v="3.56"/>
    <n v="2.02"/>
    <x v="7"/>
  </r>
  <r>
    <d v="2022-04-22T00:00:00"/>
    <d v="1899-12-30T05:21:40"/>
    <d v="1899-12-30T19:47:22"/>
    <n v="5"/>
    <n v="2.54"/>
    <n v="0.68"/>
    <n v="3.58"/>
    <x v="7"/>
  </r>
  <r>
    <d v="2022-04-23T00:00:00"/>
    <d v="1899-12-30T05:19:34"/>
    <d v="1899-12-30T19:49:05"/>
    <n v="0"/>
    <n v="10.62"/>
    <n v="3.13"/>
    <n v="2.0699999999999998"/>
    <x v="7"/>
  </r>
  <r>
    <d v="2022-04-24T00:00:00"/>
    <d v="1899-12-30T05:17:29"/>
    <d v="1899-12-30T19:50:48"/>
    <n v="0"/>
    <n v="13.23"/>
    <n v="3.2"/>
    <n v="0.56000000000000005"/>
    <x v="7"/>
  </r>
  <r>
    <d v="2022-04-25T00:00:00"/>
    <d v="1899-12-30T05:15:25"/>
    <d v="1899-12-30T19:52:32"/>
    <n v="6"/>
    <n v="3.09"/>
    <n v="1.32"/>
    <n v="3.52"/>
    <x v="7"/>
  </r>
  <r>
    <d v="2022-04-26T00:00:00"/>
    <d v="1899-12-30T05:13:22"/>
    <d v="1899-12-30T19:54:15"/>
    <n v="2"/>
    <n v="5.84"/>
    <n v="2.5099999999999998"/>
    <n v="1.33"/>
    <x v="7"/>
  </r>
  <r>
    <d v="2022-04-27T00:00:00"/>
    <d v="1899-12-30T05:11:20"/>
    <d v="1899-12-30T19:55:58"/>
    <n v="2"/>
    <n v="6.08"/>
    <n v="2.34"/>
    <n v="1.65"/>
    <x v="7"/>
  </r>
  <r>
    <d v="2022-04-28T00:00:00"/>
    <d v="1899-12-30T05:09:19"/>
    <d v="1899-12-30T19:57:40"/>
    <n v="6"/>
    <n v="3.61"/>
    <n v="1.32"/>
    <n v="2.14"/>
    <x v="7"/>
  </r>
  <r>
    <d v="2022-04-29T00:00:00"/>
    <d v="1899-12-30T05:07:20"/>
    <d v="1899-12-30T19:59:23"/>
    <n v="1"/>
    <n v="9.2799999999999994"/>
    <n v="3.62"/>
    <n v="2.17"/>
    <x v="7"/>
  </r>
  <r>
    <d v="2022-04-30T00:00:00"/>
    <d v="1899-12-30T05:05:22"/>
    <d v="1899-12-30T20:01:05"/>
    <n v="5"/>
    <n v="4.6900000000000004"/>
    <n v="3.21"/>
    <n v="2.9"/>
    <x v="7"/>
  </r>
  <r>
    <d v="2022-05-01T00:00:00"/>
    <d v="1899-12-30T05:03:25"/>
    <d v="1899-12-30T20:02:47"/>
    <n v="3"/>
    <n v="4.0999999999999996"/>
    <n v="2.16"/>
    <n v="3.12"/>
    <x v="7"/>
  </r>
  <r>
    <d v="2022-05-02T00:00:00"/>
    <d v="1899-12-30T05:01:29"/>
    <d v="1899-12-30T20:04:29"/>
    <n v="0"/>
    <n v="12.23"/>
    <n v="3.94"/>
    <n v="2.0099999999999998"/>
    <x v="8"/>
  </r>
  <r>
    <d v="2022-05-03T00:00:00"/>
    <d v="1899-12-30T04:59:35"/>
    <d v="1899-12-30T20:06:11"/>
    <n v="3"/>
    <n v="5.28"/>
    <n v="2.87"/>
    <n v="2.58"/>
    <x v="8"/>
  </r>
  <r>
    <d v="2022-05-04T00:00:00"/>
    <d v="1899-12-30T04:57:42"/>
    <d v="1899-12-30T20:07:52"/>
    <n v="0"/>
    <n v="13.63"/>
    <n v="3.27"/>
    <n v="0.93"/>
    <x v="8"/>
  </r>
  <r>
    <d v="2022-05-05T00:00:00"/>
    <d v="1899-12-30T04:55:51"/>
    <d v="1899-12-30T20:09:32"/>
    <n v="0"/>
    <n v="13.36"/>
    <n v="3.91"/>
    <n v="1.56"/>
    <x v="8"/>
  </r>
  <r>
    <d v="2022-05-06T00:00:00"/>
    <d v="1899-12-30T04:54:02"/>
    <d v="1899-12-30T20:11:13"/>
    <n v="1"/>
    <n v="8.76"/>
    <n v="3.15"/>
    <n v="1.42"/>
    <x v="8"/>
  </r>
  <r>
    <d v="2022-05-07T00:00:00"/>
    <d v="1899-12-30T04:52:14"/>
    <d v="1899-12-30T20:12:52"/>
    <n v="2"/>
    <n v="5.66"/>
    <n v="4.2"/>
    <n v="2.94"/>
    <x v="8"/>
  </r>
  <r>
    <d v="2022-05-08T00:00:00"/>
    <d v="1899-12-30T04:50:27"/>
    <d v="1899-12-30T20:14:32"/>
    <n v="2"/>
    <n v="6.84"/>
    <n v="4.38"/>
    <n v="2.0499999999999998"/>
    <x v="8"/>
  </r>
  <r>
    <d v="2022-05-09T00:00:00"/>
    <d v="1899-12-30T04:48:43"/>
    <d v="1899-12-30T20:16:10"/>
    <n v="7"/>
    <n v="2.89"/>
    <n v="0.59"/>
    <n v="2.19"/>
    <x v="8"/>
  </r>
  <r>
    <d v="2022-05-10T00:00:00"/>
    <d v="1899-12-30T04:47:00"/>
    <d v="1899-12-30T20:17:49"/>
    <n v="3"/>
    <n v="5.65"/>
    <n v="3.89"/>
    <n v="3.4"/>
    <x v="8"/>
  </r>
  <r>
    <d v="2022-05-11T00:00:00"/>
    <d v="1899-12-30T04:45:19"/>
    <d v="1899-12-30T20:19:26"/>
    <n v="1"/>
    <n v="8.83"/>
    <n v="3.04"/>
    <n v="2.06"/>
    <x v="8"/>
  </r>
  <r>
    <d v="2022-05-12T00:00:00"/>
    <d v="1899-12-30T04:43:40"/>
    <d v="1899-12-30T20:21:03"/>
    <n v="0"/>
    <n v="12.14"/>
    <n v="5.23"/>
    <n v="3.48"/>
    <x v="8"/>
  </r>
  <r>
    <d v="2022-05-13T00:00:00"/>
    <d v="1899-12-30T04:42:02"/>
    <d v="1899-12-30T20:22:39"/>
    <n v="1"/>
    <n v="14.36"/>
    <n v="6.3"/>
    <n v="1.57"/>
    <x v="8"/>
  </r>
  <r>
    <d v="2022-05-14T00:00:00"/>
    <d v="1899-12-30T04:40:27"/>
    <d v="1899-12-30T20:24:14"/>
    <n v="8"/>
    <n v="1.1299999999999999"/>
    <n v="0.66"/>
    <n v="3.45"/>
    <x v="8"/>
  </r>
  <r>
    <d v="2022-05-15T00:00:00"/>
    <d v="1899-12-30T04:38:54"/>
    <d v="1899-12-30T20:25:48"/>
    <n v="1"/>
    <n v="10.59"/>
    <n v="4.34"/>
    <n v="2.6"/>
    <x v="8"/>
  </r>
  <r>
    <d v="2022-05-16T00:00:00"/>
    <d v="1899-12-30T04:37:23"/>
    <d v="1899-12-30T20:27:21"/>
    <n v="0"/>
    <n v="16.309999999999999"/>
    <n v="5.36"/>
    <n v="1.89"/>
    <x v="8"/>
  </r>
  <r>
    <d v="2022-05-17T00:00:00"/>
    <d v="1899-12-30T04:35:53"/>
    <d v="1899-12-30T20:28:54"/>
    <n v="0"/>
    <n v="14.39"/>
    <n v="5.34"/>
    <n v="1.1399999999999999"/>
    <x v="8"/>
  </r>
  <r>
    <d v="2022-05-18T00:00:00"/>
    <d v="1899-12-30T04:34:27"/>
    <d v="1899-12-30T20:30:25"/>
    <n v="0"/>
    <n v="15.29"/>
    <n v="4.59"/>
    <n v="1.27"/>
    <x v="8"/>
  </r>
  <r>
    <d v="2022-05-19T00:00:00"/>
    <d v="1899-12-30T04:33:02"/>
    <d v="1899-12-30T20:31:55"/>
    <n v="5"/>
    <n v="5.77"/>
    <n v="2.58"/>
    <n v="1.1599999999999999"/>
    <x v="8"/>
  </r>
  <r>
    <d v="2022-05-20T00:00:00"/>
    <d v="1899-12-30T04:31:39"/>
    <d v="1899-12-30T20:33:24"/>
    <n v="3"/>
    <n v="6.62"/>
    <n v="4.3"/>
    <n v="2.2799999999999998"/>
    <x v="9"/>
  </r>
  <r>
    <d v="2022-05-21T00:00:00"/>
    <d v="1899-12-30T04:30:19"/>
    <d v="1899-12-30T20:34:52"/>
    <n v="2"/>
    <n v="5.03"/>
    <n v="2.81"/>
    <n v="3.05"/>
    <x v="9"/>
  </r>
  <r>
    <d v="2022-05-22T00:00:00"/>
    <d v="1899-12-30T04:29:02"/>
    <d v="1899-12-30T20:36:18"/>
    <n v="0"/>
    <n v="14.1"/>
    <n v="4.04"/>
    <n v="2.86"/>
    <x v="9"/>
  </r>
  <r>
    <d v="2022-05-23T00:00:00"/>
    <d v="1899-12-30T04:27:46"/>
    <d v="1899-12-30T20:37:43"/>
    <n v="8"/>
    <n v="1.36"/>
    <n v="0.57999999999999996"/>
    <n v="4.95"/>
    <x v="9"/>
  </r>
  <r>
    <d v="2022-05-24T00:00:00"/>
    <d v="1899-12-30T04:26:34"/>
    <d v="1899-12-30T20:39:07"/>
    <n v="8"/>
    <n v="1.71"/>
    <n v="0.14000000000000001"/>
    <n v="3.51"/>
    <x v="9"/>
  </r>
  <r>
    <d v="2022-05-25T00:00:00"/>
    <d v="1899-12-30T04:25:23"/>
    <d v="1899-12-30T20:40:29"/>
    <n v="6"/>
    <n v="1.6"/>
    <n v="0.94"/>
    <n v="4.68"/>
    <x v="9"/>
  </r>
  <r>
    <d v="2022-05-26T00:00:00"/>
    <d v="1899-12-30T04:24:16"/>
    <d v="1899-12-30T20:41:49"/>
    <n v="4"/>
    <n v="2.0699999999999998"/>
    <n v="1.05"/>
    <n v="3.94"/>
    <x v="9"/>
  </r>
  <r>
    <d v="2022-05-27T00:00:00"/>
    <d v="1899-12-30T04:23:11"/>
    <d v="1899-12-30T20:43:08"/>
    <n v="4"/>
    <n v="2.96"/>
    <n v="1.06"/>
    <n v="3.59"/>
    <x v="9"/>
  </r>
  <r>
    <d v="2022-05-28T00:00:00"/>
    <d v="1899-12-30T04:22:08"/>
    <d v="1899-12-30T20:44:24"/>
    <n v="3"/>
    <n v="5.78"/>
    <n v="4.2"/>
    <n v="2.96"/>
    <x v="9"/>
  </r>
  <r>
    <d v="2022-05-29T00:00:00"/>
    <d v="1899-12-30T04:21:09"/>
    <d v="1899-12-30T20:45:40"/>
    <n v="1"/>
    <n v="15.38"/>
    <n v="10.54"/>
    <n v="2.16"/>
    <x v="9"/>
  </r>
  <r>
    <d v="2022-05-30T00:00:00"/>
    <d v="1899-12-30T04:20:12"/>
    <d v="1899-12-30T20:46:53"/>
    <n v="1"/>
    <n v="15.89"/>
    <n v="9.68"/>
    <n v="1.24"/>
    <x v="9"/>
  </r>
  <r>
    <d v="2022-05-31T00:00:00"/>
    <d v="1899-12-30T04:19:18"/>
    <d v="1899-12-30T20:48:04"/>
    <n v="0"/>
    <n v="18.7"/>
    <n v="9.4"/>
    <n v="0.39"/>
    <x v="9"/>
  </r>
  <r>
    <d v="2022-06-01T00:00:00"/>
    <d v="1899-12-30T04:18:27"/>
    <d v="1899-12-30T20:49:13"/>
    <n v="0"/>
    <n v="14.56"/>
    <n v="3.3"/>
    <n v="0.64"/>
    <x v="9"/>
  </r>
  <r>
    <d v="2022-06-02T00:00:00"/>
    <d v="1899-12-30T04:17:39"/>
    <d v="1899-12-30T20:50:20"/>
    <n v="3"/>
    <n v="5.87"/>
    <n v="2.16"/>
    <n v="2.14"/>
    <x v="9"/>
  </r>
  <r>
    <d v="2022-06-03T00:00:00"/>
    <d v="1899-12-30T04:16:54"/>
    <d v="1899-12-30T20:51:25"/>
    <n v="0"/>
    <n v="19.62"/>
    <n v="9.23"/>
    <n v="0.34"/>
    <x v="9"/>
  </r>
  <r>
    <d v="2022-06-04T00:00:00"/>
    <d v="1899-12-30T04:16:12"/>
    <d v="1899-12-30T20:52:27"/>
    <n v="2"/>
    <n v="5.79"/>
    <n v="1.35"/>
    <n v="1.1200000000000001"/>
    <x v="9"/>
  </r>
  <r>
    <d v="2022-06-05T00:00:00"/>
    <d v="1899-12-30T04:15:32"/>
    <d v="1899-12-30T20:53:27"/>
    <n v="1"/>
    <n v="10.67"/>
    <n v="5.16"/>
    <n v="2.68"/>
    <x v="9"/>
  </r>
  <r>
    <d v="2022-06-06T00:00:00"/>
    <d v="1899-12-30T04:14:56"/>
    <d v="1899-12-30T20:54:25"/>
    <n v="0"/>
    <n v="12.47"/>
    <n v="3.15"/>
    <n v="1.34"/>
    <x v="9"/>
  </r>
  <r>
    <d v="2022-06-07T00:00:00"/>
    <d v="1899-12-30T04:14:23"/>
    <d v="1899-12-30T20:55:20"/>
    <n v="0"/>
    <n v="19.79"/>
    <n v="12.84"/>
    <n v="3.5"/>
    <x v="9"/>
  </r>
  <r>
    <d v="2022-06-08T00:00:00"/>
    <d v="1899-12-30T04:13:54"/>
    <d v="1899-12-30T20:56:13"/>
    <n v="0"/>
    <n v="12.57"/>
    <n v="6.64"/>
    <n v="3.26"/>
    <x v="9"/>
  </r>
  <r>
    <d v="2022-06-09T00:00:00"/>
    <d v="1899-12-30T04:13:27"/>
    <d v="1899-12-30T20:57:03"/>
    <n v="4"/>
    <n v="4.3"/>
    <n v="2.36"/>
    <n v="3.54"/>
    <x v="9"/>
  </r>
  <r>
    <d v="2022-06-10T00:00:00"/>
    <d v="1899-12-30T04:13:03"/>
    <d v="1899-12-30T20:57:50"/>
    <n v="1"/>
    <n v="12.65"/>
    <n v="6.94"/>
    <n v="3.24"/>
    <x v="9"/>
  </r>
  <r>
    <d v="2022-06-11T00:00:00"/>
    <d v="1899-12-30T04:12:43"/>
    <d v="1899-12-30T20:58:35"/>
    <n v="1"/>
    <n v="8.86"/>
    <n v="2.94"/>
    <n v="1.68"/>
    <x v="9"/>
  </r>
  <r>
    <d v="2022-06-12T00:00:00"/>
    <d v="1899-12-30T04:12:26"/>
    <d v="1899-12-30T20:59:17"/>
    <n v="3"/>
    <n v="5.64"/>
    <n v="4.25"/>
    <n v="4.95"/>
    <x v="9"/>
  </r>
  <r>
    <d v="2022-06-13T00:00:00"/>
    <d v="1899-12-30T04:12:12"/>
    <d v="1899-12-30T20:59:56"/>
    <n v="2"/>
    <n v="6.89"/>
    <n v="3.98"/>
    <n v="2.4900000000000002"/>
    <x v="9"/>
  </r>
  <r>
    <d v="2022-06-14T00:00:00"/>
    <d v="1899-12-30T04:12:01"/>
    <d v="1899-12-30T21:00:32"/>
    <n v="0"/>
    <n v="14.03"/>
    <n v="5.68"/>
    <n v="2.95"/>
    <x v="9"/>
  </r>
  <r>
    <d v="2022-06-15T00:00:00"/>
    <d v="1899-12-30T04:11:54"/>
    <d v="1899-12-30T21:01:05"/>
    <n v="1"/>
    <n v="11.04"/>
    <n v="4.9400000000000004"/>
    <n v="3.41"/>
    <x v="9"/>
  </r>
  <r>
    <d v="2022-06-16T00:00:00"/>
    <d v="1899-12-30T04:11:49"/>
    <d v="1899-12-30T21:01:35"/>
    <n v="0"/>
    <n v="11.7"/>
    <n v="4.79"/>
    <n v="2.5099999999999998"/>
    <x v="9"/>
  </r>
  <r>
    <d v="2022-06-17T00:00:00"/>
    <d v="1899-12-30T04:11:48"/>
    <d v="1899-12-30T21:02:02"/>
    <n v="3"/>
    <n v="5.39"/>
    <n v="4.6500000000000004"/>
    <n v="4.25"/>
    <x v="9"/>
  </r>
  <r>
    <d v="2022-06-18T00:00:00"/>
    <d v="1899-12-30T04:11:50"/>
    <d v="1899-12-30T21:02:26"/>
    <n v="0"/>
    <n v="11.1"/>
    <n v="4.6399999999999997"/>
    <n v="3.54"/>
    <x v="9"/>
  </r>
  <r>
    <d v="2022-06-19T00:00:00"/>
    <d v="1899-12-30T04:11:56"/>
    <d v="1899-12-30T21:02:47"/>
    <n v="0"/>
    <n v="15.81"/>
    <n v="7.63"/>
    <n v="2.02"/>
    <x v="9"/>
  </r>
  <r>
    <d v="2022-06-20T00:00:00"/>
    <d v="1899-12-30T04:12:04"/>
    <d v="1899-12-30T21:03:04"/>
    <n v="2"/>
    <n v="8.8800000000000008"/>
    <n v="6.14"/>
    <n v="3.61"/>
    <x v="9"/>
  </r>
  <r>
    <d v="2022-06-21T00:00:00"/>
    <d v="1899-12-30T04:12:16"/>
    <d v="1899-12-30T21:03:19"/>
    <n v="0"/>
    <n v="14.44"/>
    <n v="3.61"/>
    <n v="0.56999999999999995"/>
    <x v="9"/>
  </r>
  <r>
    <d v="2022-06-22T00:00:00"/>
    <d v="1899-12-30T04:12:31"/>
    <d v="1899-12-30T21:03:30"/>
    <n v="1"/>
    <n v="9.7899999999999991"/>
    <n v="4.8"/>
    <n v="3.05"/>
    <x v="9"/>
  </r>
  <r>
    <d v="2022-06-23T00:00:00"/>
    <d v="1899-12-30T04:12:49"/>
    <d v="1899-12-30T21:03:38"/>
    <n v="0"/>
    <n v="14.78"/>
    <n v="6.76"/>
    <n v="3.64"/>
    <x v="9"/>
  </r>
  <r>
    <d v="2022-06-24T00:00:00"/>
    <d v="1899-12-30T04:13:10"/>
    <d v="1899-12-30T21:03:43"/>
    <n v="0"/>
    <n v="14.52"/>
    <n v="8.19"/>
    <n v="3.95"/>
    <x v="9"/>
  </r>
  <r>
    <d v="2022-06-25T00:00:00"/>
    <d v="1899-12-30T04:13:34"/>
    <d v="1899-12-30T21:03:44"/>
    <n v="3"/>
    <n v="5.86"/>
    <n v="4.1900000000000004"/>
    <n v="3.85"/>
    <x v="9"/>
  </r>
  <r>
    <d v="2022-06-26T00:00:00"/>
    <d v="1899-12-30T04:14:01"/>
    <d v="1899-12-30T21:03:42"/>
    <n v="1"/>
    <n v="12.81"/>
    <n v="7.18"/>
    <n v="1.54"/>
    <x v="9"/>
  </r>
  <r>
    <d v="2022-06-27T00:00:00"/>
    <d v="1899-12-30T04:14:31"/>
    <d v="1899-12-30T21:03:37"/>
    <n v="0"/>
    <n v="13.22"/>
    <n v="5.53"/>
    <n v="4.26"/>
    <x v="9"/>
  </r>
  <r>
    <d v="2022-06-28T00:00:00"/>
    <d v="1899-12-30T04:15:04"/>
    <d v="1899-12-30T21:03:29"/>
    <n v="0"/>
    <n v="14.18"/>
    <n v="6.49"/>
    <n v="3.84"/>
    <x v="9"/>
  </r>
  <r>
    <d v="2022-06-29T00:00:00"/>
    <d v="1899-12-30T04:15:40"/>
    <d v="1899-12-30T21:03:18"/>
    <n v="0"/>
    <n v="18.47"/>
    <n v="9.1999999999999993"/>
    <n v="2.4700000000000002"/>
    <x v="9"/>
  </r>
  <r>
    <d v="2022-06-30T00:00:00"/>
    <d v="1899-12-30T04:16:19"/>
    <d v="1899-12-30T21:03:03"/>
    <n v="3"/>
    <n v="6.81"/>
    <n v="2.59"/>
    <n v="1.95"/>
    <x v="9"/>
  </r>
  <r>
    <d v="2022-07-01T00:00:00"/>
    <d v="1899-12-30T04:17:00"/>
    <d v="1899-12-30T21:02:45"/>
    <n v="2"/>
    <n v="2.96"/>
    <n v="1.54"/>
    <n v="4.5199999999999996"/>
    <x v="9"/>
  </r>
  <r>
    <d v="2022-07-02T00:00:00"/>
    <d v="1899-12-30T04:17:44"/>
    <d v="1899-12-30T21:02:23"/>
    <n v="0"/>
    <n v="13.76"/>
    <n v="7.09"/>
    <n v="4.32"/>
    <x v="9"/>
  </r>
  <r>
    <d v="2022-07-03T00:00:00"/>
    <d v="1899-12-30T04:18:31"/>
    <d v="1899-12-30T21:01:59"/>
    <n v="0"/>
    <n v="17.920000000000002"/>
    <n v="10.28"/>
    <n v="2.65"/>
    <x v="9"/>
  </r>
  <r>
    <d v="2022-07-04T00:00:00"/>
    <d v="1899-12-30T04:19:21"/>
    <d v="1899-12-30T21:01:31"/>
    <n v="0"/>
    <n v="19.89"/>
    <n v="10.64"/>
    <n v="1.48"/>
    <x v="9"/>
  </r>
  <r>
    <d v="2022-07-05T00:00:00"/>
    <d v="1899-12-30T04:20:12"/>
    <d v="1899-12-30T21:01:00"/>
    <n v="0"/>
    <n v="19.149999999999999"/>
    <n v="11.79"/>
    <n v="2.95"/>
    <x v="9"/>
  </r>
  <r>
    <d v="2022-07-06T00:00:00"/>
    <d v="1899-12-30T04:21:07"/>
    <d v="1899-12-30T21:00:26"/>
    <n v="1"/>
    <n v="14.68"/>
    <n v="11.32"/>
    <n v="4.26"/>
    <x v="9"/>
  </r>
  <r>
    <d v="2022-07-07T00:00:00"/>
    <d v="1899-12-30T04:22:04"/>
    <d v="1899-12-30T20:59:49"/>
    <n v="0"/>
    <n v="16.95"/>
    <n v="9.57"/>
    <n v="3.24"/>
    <x v="9"/>
  </r>
  <r>
    <d v="2022-07-08T00:00:00"/>
    <d v="1899-12-30T04:23:03"/>
    <d v="1899-12-30T20:59:09"/>
    <n v="1"/>
    <n v="11.9"/>
    <n v="7.34"/>
    <n v="4.8099999999999996"/>
    <x v="9"/>
  </r>
  <r>
    <d v="2022-07-09T00:00:00"/>
    <d v="1899-12-30T04:24:04"/>
    <d v="1899-12-30T20:58:25"/>
    <n v="0"/>
    <n v="19.440000000000001"/>
    <n v="11.14"/>
    <n v="2.91"/>
    <x v="9"/>
  </r>
  <r>
    <d v="2022-07-10T00:00:00"/>
    <d v="1899-12-30T04:25:08"/>
    <d v="1899-12-30T20:57:39"/>
    <n v="0"/>
    <n v="19.54"/>
    <n v="12.94"/>
    <n v="3.47"/>
    <x v="9"/>
  </r>
  <r>
    <d v="2022-07-11T00:00:00"/>
    <d v="1899-12-30T04:26:13"/>
    <d v="1899-12-30T20:56:50"/>
    <n v="0"/>
    <n v="18.52"/>
    <n v="12.35"/>
    <n v="1.85"/>
    <x v="9"/>
  </r>
  <r>
    <d v="2022-07-12T00:00:00"/>
    <d v="1899-12-30T04:27:21"/>
    <d v="1899-12-30T20:55:57"/>
    <n v="0"/>
    <n v="19.77"/>
    <n v="11.78"/>
    <n v="1.95"/>
    <x v="9"/>
  </r>
  <r>
    <d v="2022-07-13T00:00:00"/>
    <d v="1899-12-30T04:28:31"/>
    <d v="1899-12-30T20:55:02"/>
    <n v="0"/>
    <n v="17.22"/>
    <n v="9.69"/>
    <n v="2.84"/>
    <x v="9"/>
  </r>
  <r>
    <d v="2022-07-14T00:00:00"/>
    <d v="1899-12-30T04:29:42"/>
    <d v="1899-12-30T20:54:04"/>
    <n v="1"/>
    <n v="14.02"/>
    <n v="8.5399999999999991"/>
    <n v="2.69"/>
    <x v="9"/>
  </r>
  <r>
    <d v="2022-07-15T00:00:00"/>
    <d v="1899-12-30T04:30:55"/>
    <d v="1899-12-30T20:53:03"/>
    <n v="1"/>
    <n v="15.96"/>
    <n v="11.95"/>
    <n v="3.05"/>
    <x v="9"/>
  </r>
  <r>
    <d v="2022-07-16T00:00:00"/>
    <d v="1899-12-30T04:32:11"/>
    <d v="1899-12-30T20:52:00"/>
    <n v="1"/>
    <n v="15.06"/>
    <n v="7.68"/>
    <n v="1.1599999999999999"/>
    <x v="9"/>
  </r>
  <r>
    <d v="2022-07-17T00:00:00"/>
    <d v="1899-12-30T04:33:27"/>
    <d v="1899-12-30T20:50:54"/>
    <n v="0"/>
    <n v="19.62"/>
    <n v="10.19"/>
    <n v="0.47"/>
    <x v="9"/>
  </r>
  <r>
    <d v="2022-07-18T00:00:00"/>
    <d v="1899-12-30T04:34:46"/>
    <d v="1899-12-30T20:49:45"/>
    <n v="0"/>
    <n v="18.97"/>
    <n v="8.85"/>
    <n v="1.66"/>
    <x v="9"/>
  </r>
  <r>
    <d v="2022-07-19T00:00:00"/>
    <d v="1899-12-30T04:36:05"/>
    <d v="1899-12-30T20:48:33"/>
    <n v="0"/>
    <n v="17.940000000000001"/>
    <n v="9.83"/>
    <n v="3.13"/>
    <x v="9"/>
  </r>
  <r>
    <d v="2022-07-20T00:00:00"/>
    <d v="1899-12-30T04:37:27"/>
    <d v="1899-12-30T20:47:19"/>
    <n v="0"/>
    <n v="17.350000000000001"/>
    <n v="11.02"/>
    <n v="2.82"/>
    <x v="9"/>
  </r>
  <r>
    <d v="2022-07-21T00:00:00"/>
    <d v="1899-12-30T04:38:49"/>
    <d v="1899-12-30T20:46:03"/>
    <n v="0"/>
    <n v="18.3"/>
    <n v="10.96"/>
    <n v="2.14"/>
    <x v="9"/>
  </r>
  <r>
    <d v="2022-07-22T00:00:00"/>
    <d v="1899-12-30T04:40:13"/>
    <d v="1899-12-30T20:44:44"/>
    <n v="0"/>
    <n v="17.04"/>
    <n v="9.85"/>
    <n v="2.2599999999999998"/>
    <x v="9"/>
  </r>
  <r>
    <d v="2022-07-23T00:00:00"/>
    <d v="1899-12-30T04:41:38"/>
    <d v="1899-12-30T20:43:23"/>
    <n v="0"/>
    <n v="18.850000000000001"/>
    <n v="11.75"/>
    <n v="2.94"/>
    <x v="9"/>
  </r>
  <r>
    <d v="2022-07-24T00:00:00"/>
    <d v="1899-12-30T04:43:05"/>
    <d v="1899-12-30T20:41:59"/>
    <n v="0"/>
    <n v="16.55"/>
    <n v="8.33"/>
    <n v="1.56"/>
    <x v="8"/>
  </r>
  <r>
    <d v="2022-07-25T00:00:00"/>
    <d v="1899-12-30T04:44:32"/>
    <d v="1899-12-30T20:40:33"/>
    <n v="1"/>
    <n v="13.83"/>
    <n v="8.1999999999999993"/>
    <n v="3.02"/>
    <x v="8"/>
  </r>
  <r>
    <d v="2022-07-26T00:00:00"/>
    <d v="1899-12-30T04:46:01"/>
    <d v="1899-12-30T20:39:05"/>
    <n v="0"/>
    <n v="16.16"/>
    <n v="8.9499999999999993"/>
    <n v="2.09"/>
    <x v="8"/>
  </r>
  <r>
    <d v="2022-07-27T00:00:00"/>
    <d v="1899-12-30T04:47:30"/>
    <d v="1899-12-30T20:37:34"/>
    <n v="0"/>
    <n v="17.82"/>
    <n v="10.94"/>
    <n v="3.66"/>
    <x v="8"/>
  </r>
  <r>
    <d v="2022-07-28T00:00:00"/>
    <d v="1899-12-30T04:49:00"/>
    <d v="1899-12-30T20:36:02"/>
    <n v="0"/>
    <n v="19.23"/>
    <n v="10.19"/>
    <n v="2.0299999999999998"/>
    <x v="8"/>
  </r>
  <r>
    <d v="2022-07-29T00:00:00"/>
    <d v="1899-12-30T04:50:32"/>
    <d v="1899-12-30T20:34:27"/>
    <n v="0"/>
    <n v="18.59"/>
    <n v="10.29"/>
    <n v="1.74"/>
    <x v="8"/>
  </r>
  <r>
    <d v="2022-07-30T00:00:00"/>
    <d v="1899-12-30T04:52:04"/>
    <d v="1899-12-30T20:32:51"/>
    <n v="1"/>
    <n v="14.2"/>
    <n v="10.59"/>
    <n v="4.04"/>
    <x v="8"/>
  </r>
  <r>
    <d v="2022-07-31T00:00:00"/>
    <d v="1899-12-30T04:53:36"/>
    <d v="1899-12-30T20:31:12"/>
    <n v="1"/>
    <n v="13.79"/>
    <n v="8.49"/>
    <n v="2.38"/>
    <x v="8"/>
  </r>
  <r>
    <d v="2022-08-01T00:00:00"/>
    <d v="1899-12-30T04:55:10"/>
    <d v="1899-12-30T20:29:32"/>
    <n v="1"/>
    <n v="15.96"/>
    <n v="9.48"/>
    <n v="1.78"/>
    <x v="8"/>
  </r>
  <r>
    <d v="2022-08-02T00:00:00"/>
    <d v="1899-12-30T04:56:44"/>
    <d v="1899-12-30T20:27:50"/>
    <n v="0"/>
    <n v="18.86"/>
    <n v="12.56"/>
    <n v="4.93"/>
    <x v="8"/>
  </r>
  <r>
    <d v="2022-08-03T00:00:00"/>
    <d v="1899-12-30T04:58:19"/>
    <d v="1899-12-30T20:26:06"/>
    <n v="0"/>
    <n v="18.12"/>
    <n v="9.15"/>
    <n v="2.87"/>
    <x v="8"/>
  </r>
  <r>
    <d v="2022-08-04T00:00:00"/>
    <d v="1899-12-30T04:59:54"/>
    <d v="1899-12-30T20:24:20"/>
    <n v="0"/>
    <n v="19.88"/>
    <n v="10.14"/>
    <n v="1.94"/>
    <x v="8"/>
  </r>
  <r>
    <d v="2022-08-05T00:00:00"/>
    <d v="1899-12-30T05:01:30"/>
    <d v="1899-12-30T20:22:32"/>
    <n v="1"/>
    <n v="12.71"/>
    <n v="8.08"/>
    <n v="2.89"/>
    <x v="8"/>
  </r>
  <r>
    <d v="2022-08-06T00:00:00"/>
    <d v="1899-12-30T05:03:06"/>
    <d v="1899-12-30T20:20:43"/>
    <n v="1"/>
    <n v="11.46"/>
    <n v="7.01"/>
    <n v="2.95"/>
    <x v="8"/>
  </r>
  <r>
    <d v="2022-08-07T00:00:00"/>
    <d v="1899-12-30T05:04:42"/>
    <d v="1899-12-30T20:18:53"/>
    <n v="0"/>
    <n v="18.38"/>
    <n v="11.16"/>
    <n v="3.69"/>
    <x v="8"/>
  </r>
  <r>
    <d v="2022-08-08T00:00:00"/>
    <d v="1899-12-30T05:06:19"/>
    <d v="1899-12-30T20:17:00"/>
    <n v="0"/>
    <n v="15.21"/>
    <n v="6.71"/>
    <n v="3.21"/>
    <x v="8"/>
  </r>
  <r>
    <d v="2022-08-09T00:00:00"/>
    <d v="1899-12-30T05:07:56"/>
    <d v="1899-12-30T20:15:06"/>
    <n v="0"/>
    <n v="19.329999999999998"/>
    <n v="10.19"/>
    <n v="1.54"/>
    <x v="8"/>
  </r>
  <r>
    <d v="2022-08-10T00:00:00"/>
    <d v="1899-12-30T05:09:34"/>
    <d v="1899-12-30T20:13:11"/>
    <n v="0"/>
    <n v="19.829999999999998"/>
    <n v="12.94"/>
    <n v="3.94"/>
    <x v="8"/>
  </r>
  <r>
    <d v="2022-08-11T00:00:00"/>
    <d v="1899-12-30T05:11:12"/>
    <d v="1899-12-30T20:11:15"/>
    <n v="0"/>
    <n v="15.68"/>
    <n v="6.85"/>
    <n v="2.4900000000000002"/>
    <x v="8"/>
  </r>
  <r>
    <d v="2022-08-12T00:00:00"/>
    <d v="1899-12-30T05:12:50"/>
    <d v="1899-12-30T20:09:17"/>
    <n v="1"/>
    <n v="10.43"/>
    <n v="5.19"/>
    <n v="2.76"/>
    <x v="7"/>
  </r>
  <r>
    <d v="2022-08-13T00:00:00"/>
    <d v="1899-12-30T05:14:28"/>
    <d v="1899-12-30T20:07:17"/>
    <n v="0"/>
    <n v="17.89"/>
    <n v="7.23"/>
    <n v="0.49"/>
    <x v="7"/>
  </r>
  <r>
    <d v="2022-08-14T00:00:00"/>
    <d v="1899-12-30T05:16:07"/>
    <d v="1899-12-30T20:05:17"/>
    <n v="0"/>
    <n v="17.03"/>
    <n v="9.32"/>
    <n v="3.67"/>
    <x v="7"/>
  </r>
  <r>
    <d v="2022-08-15T00:00:00"/>
    <d v="1899-12-30T05:17:45"/>
    <d v="1899-12-30T20:03:15"/>
    <n v="0"/>
    <n v="19.920000000000002"/>
    <n v="12.25"/>
    <n v="1.77"/>
    <x v="7"/>
  </r>
  <r>
    <d v="2022-08-16T00:00:00"/>
    <d v="1899-12-30T05:19:24"/>
    <d v="1899-12-30T20:01:12"/>
    <n v="0"/>
    <n v="16.059999999999999"/>
    <n v="7.46"/>
    <n v="2.1800000000000002"/>
    <x v="7"/>
  </r>
  <r>
    <d v="2022-08-17T00:00:00"/>
    <d v="1899-12-30T05:21:03"/>
    <d v="1899-12-30T19:59:08"/>
    <n v="0"/>
    <n v="18.84"/>
    <n v="10.64"/>
    <n v="3.51"/>
    <x v="7"/>
  </r>
  <r>
    <d v="2022-08-18T00:00:00"/>
    <d v="1899-12-30T05:22:42"/>
    <d v="1899-12-30T19:57:02"/>
    <n v="0"/>
    <n v="18.97"/>
    <n v="10.97"/>
    <n v="3.09"/>
    <x v="7"/>
  </r>
  <r>
    <d v="2022-08-19T00:00:00"/>
    <d v="1899-12-30T05:24:21"/>
    <d v="1899-12-30T19:54:56"/>
    <n v="1"/>
    <n v="11.99"/>
    <n v="7.68"/>
    <n v="3.68"/>
    <x v="7"/>
  </r>
  <r>
    <d v="2022-08-20T00:00:00"/>
    <d v="1899-12-30T05:26:00"/>
    <d v="1899-12-30T19:52:49"/>
    <n v="0"/>
    <n v="19.649999999999999"/>
    <n v="11.94"/>
    <n v="3.66"/>
    <x v="7"/>
  </r>
  <r>
    <d v="2022-08-21T00:00:00"/>
    <d v="1899-12-30T05:27:39"/>
    <d v="1899-12-30T19:50:40"/>
    <n v="1"/>
    <n v="13.19"/>
    <n v="8.34"/>
    <n v="2.4"/>
    <x v="7"/>
  </r>
  <r>
    <d v="2022-08-22T00:00:00"/>
    <d v="1899-12-30T05:29:18"/>
    <d v="1899-12-30T19:48:31"/>
    <n v="1"/>
    <n v="14.17"/>
    <n v="9.9700000000000006"/>
    <n v="3.16"/>
    <x v="7"/>
  </r>
  <r>
    <d v="2022-08-23T00:00:00"/>
    <d v="1899-12-30T05:30:57"/>
    <d v="1899-12-30T19:46:21"/>
    <n v="1"/>
    <n v="12.08"/>
    <n v="6.96"/>
    <n v="2.23"/>
    <x v="7"/>
  </r>
  <r>
    <d v="2022-08-24T00:00:00"/>
    <d v="1899-12-30T05:32:36"/>
    <d v="1899-12-30T19:44:10"/>
    <n v="0"/>
    <n v="18.739999999999998"/>
    <n v="10.34"/>
    <n v="2.92"/>
    <x v="7"/>
  </r>
  <r>
    <d v="2022-08-25T00:00:00"/>
    <d v="1899-12-30T05:34:15"/>
    <d v="1899-12-30T19:41:58"/>
    <n v="0"/>
    <n v="17.95"/>
    <n v="8.23"/>
    <n v="0.78"/>
    <x v="7"/>
  </r>
  <r>
    <d v="2022-08-26T00:00:00"/>
    <d v="1899-12-30T05:35:54"/>
    <d v="1899-12-30T19:39:45"/>
    <n v="0"/>
    <n v="16.829999999999998"/>
    <n v="8.83"/>
    <n v="3.07"/>
    <x v="7"/>
  </r>
  <r>
    <d v="2022-08-27T00:00:00"/>
    <d v="1899-12-30T05:37:33"/>
    <d v="1899-12-30T19:37:32"/>
    <n v="0"/>
    <n v="17.09"/>
    <n v="8.6300000000000008"/>
    <n v="0.64"/>
    <x v="6"/>
  </r>
  <r>
    <d v="2022-08-28T00:00:00"/>
    <d v="1899-12-30T05:39:12"/>
    <d v="1899-12-30T19:35:18"/>
    <n v="0"/>
    <n v="18.010000000000002"/>
    <n v="10.67"/>
    <n v="2.95"/>
    <x v="6"/>
  </r>
  <r>
    <d v="2022-08-29T00:00:00"/>
    <d v="1899-12-30T05:40:51"/>
    <d v="1899-12-30T19:33:03"/>
    <n v="0"/>
    <n v="19.48"/>
    <n v="12.16"/>
    <n v="3.2"/>
    <x v="6"/>
  </r>
  <r>
    <d v="2022-08-30T00:00:00"/>
    <d v="1899-12-30T05:42:30"/>
    <d v="1899-12-30T19:30:47"/>
    <n v="0"/>
    <n v="18.11"/>
    <n v="11.38"/>
    <n v="2.91"/>
    <x v="6"/>
  </r>
  <r>
    <d v="2022-08-31T00:00:00"/>
    <d v="1899-12-30T05:44:09"/>
    <d v="1899-12-30T19:28:31"/>
    <n v="0"/>
    <n v="17.559999999999999"/>
    <n v="9.49"/>
    <n v="0.94"/>
    <x v="6"/>
  </r>
  <r>
    <d v="2022-09-01T00:00:00"/>
    <d v="1899-12-30T05:45:48"/>
    <d v="1899-12-30T19:26:15"/>
    <n v="0"/>
    <n v="16.809999999999999"/>
    <n v="9.4600000000000009"/>
    <n v="2.19"/>
    <x v="6"/>
  </r>
  <r>
    <d v="2022-09-02T00:00:00"/>
    <d v="1899-12-30T05:47:26"/>
    <d v="1899-12-30T19:23:57"/>
    <n v="0"/>
    <n v="15.05"/>
    <n v="9.31"/>
    <n v="3.95"/>
    <x v="6"/>
  </r>
  <r>
    <d v="2022-09-03T00:00:00"/>
    <d v="1899-12-30T05:49:05"/>
    <d v="1899-12-30T19:21:40"/>
    <n v="0"/>
    <n v="14.3"/>
    <n v="8.69"/>
    <n v="4.6900000000000004"/>
    <x v="6"/>
  </r>
  <r>
    <d v="2022-09-04T00:00:00"/>
    <d v="1899-12-30T05:50:44"/>
    <d v="1899-12-30T19:19:21"/>
    <n v="0"/>
    <n v="19.399999999999999"/>
    <n v="10.84"/>
    <n v="0.84"/>
    <x v="6"/>
  </r>
  <r>
    <d v="2022-09-05T00:00:00"/>
    <d v="1899-12-30T05:52:22"/>
    <d v="1899-12-30T19:17:03"/>
    <n v="1"/>
    <n v="14.15"/>
    <n v="8.94"/>
    <n v="3.18"/>
    <x v="6"/>
  </r>
  <r>
    <d v="2022-09-06T00:00:00"/>
    <d v="1899-12-30T05:54:01"/>
    <d v="1899-12-30T19:14:44"/>
    <n v="2"/>
    <n v="10.199999999999999"/>
    <n v="6.94"/>
    <n v="1.89"/>
    <x v="6"/>
  </r>
  <r>
    <d v="2022-09-07T00:00:00"/>
    <d v="1899-12-30T05:55:40"/>
    <d v="1899-12-30T19:12:24"/>
    <n v="0"/>
    <n v="19.149999999999999"/>
    <n v="12.22"/>
    <n v="2.98"/>
    <x v="6"/>
  </r>
  <r>
    <d v="2022-09-08T00:00:00"/>
    <d v="1899-12-30T05:57:18"/>
    <d v="1899-12-30T19:10:04"/>
    <n v="0"/>
    <n v="16.739999999999998"/>
    <n v="9.15"/>
    <n v="3.48"/>
    <x v="6"/>
  </r>
  <r>
    <d v="2022-09-09T00:00:00"/>
    <d v="1899-12-30T05:58:57"/>
    <d v="1899-12-30T19:07:44"/>
    <n v="1"/>
    <n v="12.97"/>
    <n v="7.63"/>
    <n v="2.59"/>
    <x v="6"/>
  </r>
  <r>
    <d v="2022-09-10T00:00:00"/>
    <d v="1899-12-30T06:00:36"/>
    <d v="1899-12-30T19:05:24"/>
    <n v="0"/>
    <n v="19.690000000000001"/>
    <n v="11.67"/>
    <n v="1.86"/>
    <x v="6"/>
  </r>
  <r>
    <d v="2022-09-11T00:00:00"/>
    <d v="1899-12-30T06:02:14"/>
    <d v="1899-12-30T19:03:03"/>
    <n v="1"/>
    <n v="15.77"/>
    <n v="9.66"/>
    <n v="0.95"/>
    <x v="6"/>
  </r>
  <r>
    <d v="2022-09-12T00:00:00"/>
    <d v="1899-12-30T06:03:53"/>
    <d v="1899-12-30T19:00:42"/>
    <n v="1"/>
    <n v="13.48"/>
    <n v="8.56"/>
    <n v="2.94"/>
    <x v="5"/>
  </r>
  <r>
    <d v="2022-09-13T00:00:00"/>
    <d v="1899-12-30T06:05:31"/>
    <d v="1899-12-30T18:58:21"/>
    <n v="1"/>
    <n v="14.44"/>
    <n v="9.48"/>
    <n v="2.84"/>
    <x v="5"/>
  </r>
  <r>
    <d v="2022-09-14T00:00:00"/>
    <d v="1899-12-30T06:07:10"/>
    <d v="1899-12-30T18:55:59"/>
    <n v="0"/>
    <n v="15.61"/>
    <n v="8.7799999999999994"/>
    <n v="4.95"/>
    <x v="5"/>
  </r>
  <r>
    <d v="2022-09-15T00:00:00"/>
    <d v="1899-12-30T06:08:49"/>
    <d v="1899-12-30T18:53:38"/>
    <n v="0"/>
    <n v="18"/>
    <n v="9.9700000000000006"/>
    <n v="3.65"/>
    <x v="5"/>
  </r>
  <r>
    <d v="2022-09-16T00:00:00"/>
    <d v="1899-12-30T06:10:27"/>
    <d v="1899-12-30T18:51:16"/>
    <n v="3"/>
    <n v="9.7799999999999994"/>
    <n v="6.88"/>
    <n v="4.9800000000000004"/>
    <x v="5"/>
  </r>
  <r>
    <d v="2022-09-17T00:00:00"/>
    <d v="1899-12-30T06:12:06"/>
    <d v="1899-12-30T18:48:55"/>
    <n v="1"/>
    <n v="13.43"/>
    <n v="8.9700000000000006"/>
    <n v="3.24"/>
    <x v="5"/>
  </r>
  <r>
    <d v="2022-09-18T00:00:00"/>
    <d v="1899-12-30T06:13:45"/>
    <d v="1899-12-30T18:46:33"/>
    <n v="1"/>
    <n v="12.57"/>
    <n v="8.44"/>
    <n v="3.16"/>
    <x v="5"/>
  </r>
  <r>
    <d v="2022-09-19T00:00:00"/>
    <d v="1899-12-30T06:15:24"/>
    <d v="1899-12-30T18:44:11"/>
    <n v="2"/>
    <n v="10.44"/>
    <n v="7.84"/>
    <n v="2.48"/>
    <x v="5"/>
  </r>
  <r>
    <d v="2022-09-20T00:00:00"/>
    <d v="1899-12-30T06:17:03"/>
    <d v="1899-12-30T18:41:49"/>
    <n v="0"/>
    <n v="14.53"/>
    <n v="5.65"/>
    <n v="2.94"/>
    <x v="5"/>
  </r>
  <r>
    <d v="2022-09-21T00:00:00"/>
    <d v="1899-12-30T06:18:42"/>
    <d v="1899-12-30T18:39:28"/>
    <n v="0"/>
    <n v="14.84"/>
    <n v="5.95"/>
    <n v="1.9"/>
    <x v="5"/>
  </r>
  <r>
    <d v="2022-09-22T00:00:00"/>
    <d v="1899-12-30T06:20:22"/>
    <d v="1899-12-30T18:37:06"/>
    <n v="0"/>
    <n v="16.510000000000002"/>
    <n v="7.84"/>
    <n v="0.84"/>
    <x v="5"/>
  </r>
  <r>
    <d v="2022-09-23T00:00:00"/>
    <d v="1899-12-30T06:22:01"/>
    <d v="1899-12-30T18:34:44"/>
    <n v="0"/>
    <n v="12.03"/>
    <n v="6.37"/>
    <n v="5.4"/>
    <x v="5"/>
  </r>
  <r>
    <d v="2022-09-24T00:00:00"/>
    <d v="1899-12-30T06:23:40"/>
    <d v="1899-12-30T18:32:23"/>
    <n v="0"/>
    <n v="15.85"/>
    <n v="6.64"/>
    <n v="2.69"/>
    <x v="5"/>
  </r>
  <r>
    <d v="2022-09-25T00:00:00"/>
    <d v="1899-12-30T06:25:20"/>
    <d v="1899-12-30T18:30:01"/>
    <n v="0"/>
    <n v="18.45"/>
    <n v="8.5399999999999991"/>
    <n v="1.02"/>
    <x v="5"/>
  </r>
  <r>
    <d v="2022-09-26T00:00:00"/>
    <d v="1899-12-30T06:27:00"/>
    <d v="1899-12-30T18:27:40"/>
    <n v="1"/>
    <n v="11.93"/>
    <n v="7.93"/>
    <n v="3.04"/>
    <x v="5"/>
  </r>
  <r>
    <d v="2022-09-27T00:00:00"/>
    <d v="1899-12-30T06:28:40"/>
    <d v="1899-12-30T18:25:19"/>
    <n v="0"/>
    <n v="13.34"/>
    <n v="8.39"/>
    <n v="2.84"/>
    <x v="4"/>
  </r>
  <r>
    <d v="2022-09-28T00:00:00"/>
    <d v="1899-12-30T06:30:20"/>
    <d v="1899-12-30T18:22:59"/>
    <n v="0"/>
    <n v="13.66"/>
    <n v="7.55"/>
    <n v="2.14"/>
    <x v="4"/>
  </r>
  <r>
    <d v="2022-09-29T00:00:00"/>
    <d v="1899-12-30T06:32:01"/>
    <d v="1899-12-30T18:20:38"/>
    <n v="2"/>
    <n v="9.33"/>
    <n v="5.86"/>
    <n v="2.19"/>
    <x v="4"/>
  </r>
  <r>
    <d v="2022-09-30T00:00:00"/>
    <d v="1899-12-30T06:33:41"/>
    <d v="1899-12-30T18:18:18"/>
    <n v="0"/>
    <n v="12.98"/>
    <n v="6.32"/>
    <n v="3.02"/>
    <x v="4"/>
  </r>
  <r>
    <d v="2022-10-01T00:00:00"/>
    <d v="1899-12-30T06:35:22"/>
    <d v="1899-12-30T18:15:58"/>
    <n v="3"/>
    <n v="6.6"/>
    <n v="5.68"/>
    <n v="4.16"/>
    <x v="4"/>
  </r>
  <r>
    <d v="2022-10-02T00:00:00"/>
    <d v="1899-12-30T06:37:03"/>
    <d v="1899-12-30T18:13:39"/>
    <n v="2"/>
    <n v="8.07"/>
    <n v="6.79"/>
    <n v="5.03"/>
    <x v="4"/>
  </r>
  <r>
    <d v="2022-10-03T00:00:00"/>
    <d v="1899-12-30T06:38:44"/>
    <d v="1899-12-30T18:11:20"/>
    <n v="4"/>
    <n v="4.42"/>
    <n v="3.32"/>
    <n v="3.56"/>
    <x v="4"/>
  </r>
  <r>
    <d v="2022-10-04T00:00:00"/>
    <d v="1899-12-30T06:40:26"/>
    <d v="1899-12-30T18:09:01"/>
    <n v="4"/>
    <n v="4.3899999999999997"/>
    <n v="1.26"/>
    <n v="1.19"/>
    <x v="4"/>
  </r>
  <r>
    <d v="2022-10-05T00:00:00"/>
    <d v="1899-12-30T06:42:08"/>
    <d v="1899-12-30T18:06:43"/>
    <n v="4"/>
    <n v="5.07"/>
    <n v="2.68"/>
    <n v="2.14"/>
    <x v="4"/>
  </r>
  <r>
    <d v="2022-10-06T00:00:00"/>
    <d v="1899-12-30T06:43:50"/>
    <d v="1899-12-30T18:04:25"/>
    <n v="4"/>
    <n v="5.66"/>
    <n v="3.96"/>
    <n v="2.1800000000000002"/>
    <x v="4"/>
  </r>
  <r>
    <d v="2022-10-07T00:00:00"/>
    <d v="1899-12-30T06:45:32"/>
    <d v="1899-12-30T18:02:08"/>
    <n v="4"/>
    <n v="5.19"/>
    <n v="3.12"/>
    <n v="4.0599999999999996"/>
    <x v="4"/>
  </r>
  <r>
    <d v="2022-10-08T00:00:00"/>
    <d v="1899-12-30T06:47:15"/>
    <d v="1899-12-30T17:59:51"/>
    <n v="7"/>
    <n v="3.5"/>
    <n v="1.65"/>
    <n v="4.26"/>
    <x v="4"/>
  </r>
  <r>
    <d v="2022-10-09T00:00:00"/>
    <d v="1899-12-30T06:48:57"/>
    <d v="1899-12-30T17:57:35"/>
    <n v="1"/>
    <n v="9.49"/>
    <n v="4.95"/>
    <n v="2.89"/>
    <x v="4"/>
  </r>
  <r>
    <d v="2022-10-10T00:00:00"/>
    <d v="1899-12-30T06:50:41"/>
    <d v="1899-12-30T17:55:20"/>
    <n v="3"/>
    <n v="6.48"/>
    <n v="4.8499999999999996"/>
    <n v="3.41"/>
    <x v="4"/>
  </r>
  <r>
    <d v="2022-10-11T00:00:00"/>
    <d v="1899-12-30T06:52:24"/>
    <d v="1899-12-30T17:53:05"/>
    <n v="3"/>
    <n v="5.86"/>
    <n v="4.97"/>
    <n v="4.0199999999999996"/>
    <x v="4"/>
  </r>
  <r>
    <d v="2022-10-12T00:00:00"/>
    <d v="1899-12-30T06:54:08"/>
    <d v="1899-12-30T17:50:51"/>
    <n v="3"/>
    <n v="5.92"/>
    <n v="4.3600000000000003"/>
    <n v="2.68"/>
    <x v="3"/>
  </r>
  <r>
    <d v="2022-10-13T00:00:00"/>
    <d v="1899-12-30T06:55:52"/>
    <d v="1899-12-30T17:48:37"/>
    <n v="5"/>
    <n v="3.69"/>
    <n v="1.58"/>
    <n v="2.4300000000000002"/>
    <x v="3"/>
  </r>
  <r>
    <d v="2022-10-14T00:00:00"/>
    <d v="1899-12-30T06:57:36"/>
    <d v="1899-12-30T17:46:25"/>
    <n v="1"/>
    <n v="8.8800000000000008"/>
    <n v="3.95"/>
    <n v="2.44"/>
    <x v="3"/>
  </r>
  <r>
    <d v="2022-10-15T00:00:00"/>
    <d v="1899-12-30T06:59:21"/>
    <d v="1899-12-30T17:44:13"/>
    <n v="1"/>
    <n v="8.56"/>
    <n v="2.86"/>
    <n v="1.61"/>
    <x v="3"/>
  </r>
  <r>
    <d v="2022-10-16T00:00:00"/>
    <d v="1899-12-30T07:01:06"/>
    <d v="1899-12-30T17:42:02"/>
    <n v="0"/>
    <n v="14.7"/>
    <n v="5.42"/>
    <n v="2.48"/>
    <x v="3"/>
  </r>
  <r>
    <d v="2022-10-17T00:00:00"/>
    <d v="1899-12-30T07:02:51"/>
    <d v="1899-12-30T17:39:52"/>
    <n v="1"/>
    <n v="11.59"/>
    <n v="6.72"/>
    <n v="2.4700000000000002"/>
    <x v="3"/>
  </r>
  <r>
    <d v="2022-10-18T00:00:00"/>
    <d v="1899-12-30T07:04:36"/>
    <d v="1899-12-30T17:37:42"/>
    <n v="6"/>
    <n v="3.26"/>
    <n v="1.96"/>
    <n v="3.14"/>
    <x v="3"/>
  </r>
  <r>
    <d v="2022-10-19T00:00:00"/>
    <d v="1899-12-30T07:06:22"/>
    <d v="1899-12-30T17:35:34"/>
    <n v="4"/>
    <n v="4.9000000000000004"/>
    <n v="1.87"/>
    <n v="3.61"/>
    <x v="3"/>
  </r>
  <r>
    <d v="2022-10-20T00:00:00"/>
    <d v="1899-12-30T07:08:08"/>
    <d v="1899-12-30T17:33:27"/>
    <n v="1"/>
    <n v="9.3800000000000008"/>
    <n v="5.46"/>
    <n v="3.45"/>
    <x v="3"/>
  </r>
  <r>
    <d v="2022-10-21T00:00:00"/>
    <d v="1899-12-30T07:09:55"/>
    <d v="1899-12-30T17:31:20"/>
    <n v="3"/>
    <n v="5.29"/>
    <n v="3.94"/>
    <n v="3.48"/>
    <x v="3"/>
  </r>
  <r>
    <d v="2022-10-22T00:00:00"/>
    <d v="1899-12-30T07:11:41"/>
    <d v="1899-12-30T17:29:15"/>
    <n v="0"/>
    <n v="13.23"/>
    <n v="6.74"/>
    <n v="2.69"/>
    <x v="3"/>
  </r>
  <r>
    <d v="2022-10-23T00:00:00"/>
    <d v="1899-12-30T07:13:28"/>
    <d v="1899-12-30T17:27:11"/>
    <n v="7"/>
    <n v="3.97"/>
    <n v="1.64"/>
    <n v="4.84"/>
    <x v="3"/>
  </r>
  <r>
    <d v="2022-10-24T00:00:00"/>
    <d v="1899-12-30T07:15:15"/>
    <d v="1899-12-30T17:25:08"/>
    <n v="0"/>
    <n v="12.38"/>
    <n v="6.35"/>
    <n v="3.66"/>
    <x v="3"/>
  </r>
  <r>
    <d v="2022-10-25T00:00:00"/>
    <d v="1899-12-30T07:17:02"/>
    <d v="1899-12-30T17:23:06"/>
    <n v="4"/>
    <n v="4.58"/>
    <n v="2.5299999999999998"/>
    <n v="4.57"/>
    <x v="3"/>
  </r>
  <r>
    <d v="2022-10-26T00:00:00"/>
    <d v="1899-12-30T07:18:50"/>
    <d v="1899-12-30T17:21:06"/>
    <n v="6"/>
    <n v="2.06"/>
    <n v="1.06"/>
    <n v="3.84"/>
    <x v="3"/>
  </r>
  <r>
    <d v="2022-10-27T00:00:00"/>
    <d v="1899-12-30T07:20:38"/>
    <d v="1899-12-30T17:19:06"/>
    <n v="1"/>
    <n v="8.7799999999999994"/>
    <n v="2.09"/>
    <n v="1.58"/>
    <x v="2"/>
  </r>
  <r>
    <d v="2022-10-28T00:00:00"/>
    <d v="1899-12-30T07:22:26"/>
    <d v="1899-12-30T17:17:08"/>
    <n v="1"/>
    <n v="8.06"/>
    <n v="1.98"/>
    <n v="1.08"/>
    <x v="2"/>
  </r>
  <r>
    <d v="2022-10-29T00:00:00"/>
    <d v="1899-12-30T07:24:14"/>
    <d v="1899-12-30T17:15:12"/>
    <n v="4"/>
    <n v="4.7300000000000004"/>
    <n v="3.79"/>
    <n v="3.08"/>
    <x v="2"/>
  </r>
  <r>
    <d v="2022-10-30T00:00:00"/>
    <d v="1899-12-30T06:26:02"/>
    <d v="1899-12-30T16:13:16"/>
    <n v="3"/>
    <n v="5.33"/>
    <n v="2.98"/>
    <n v="3.05"/>
    <x v="2"/>
  </r>
  <r>
    <d v="2022-10-31T00:00:00"/>
    <d v="1899-12-30T06:27:50"/>
    <d v="1899-12-30T16:11:23"/>
    <n v="6"/>
    <n v="2.13"/>
    <n v="1.67"/>
    <n v="4.21"/>
    <x v="2"/>
  </r>
  <r>
    <d v="2022-11-01T00:00:00"/>
    <d v="1899-12-30T06:29:38"/>
    <d v="1899-12-30T16:09:31"/>
    <n v="8"/>
    <n v="1.23"/>
    <n v="0.56999999999999995"/>
    <n v="5.08"/>
    <x v="2"/>
  </r>
  <r>
    <d v="2022-11-02T00:00:00"/>
    <d v="1899-12-30T06:31:27"/>
    <d v="1899-12-30T16:07:40"/>
    <n v="3"/>
    <n v="5.84"/>
    <n v="4.32"/>
    <n v="2.95"/>
    <x v="2"/>
  </r>
  <r>
    <d v="2022-11-03T00:00:00"/>
    <d v="1899-12-30T06:33:15"/>
    <d v="1899-12-30T16:05:51"/>
    <n v="3"/>
    <n v="4.55"/>
    <n v="3.94"/>
    <n v="6.57"/>
    <x v="2"/>
  </r>
  <r>
    <d v="2022-11-04T00:00:00"/>
    <d v="1899-12-30T06:35:03"/>
    <d v="1899-12-30T16:04:03"/>
    <n v="3"/>
    <n v="4.7"/>
    <n v="3.64"/>
    <n v="4.21"/>
    <x v="2"/>
  </r>
  <r>
    <d v="2022-11-05T00:00:00"/>
    <d v="1899-12-30T06:36:52"/>
    <d v="1899-12-30T16:02:18"/>
    <n v="2"/>
    <n v="5.19"/>
    <n v="3.65"/>
    <n v="5.32"/>
    <x v="2"/>
  </r>
  <r>
    <d v="2022-11-06T00:00:00"/>
    <d v="1899-12-30T06:38:40"/>
    <d v="1899-12-30T16:00:34"/>
    <n v="1"/>
    <n v="7.75"/>
    <n v="3.84"/>
    <n v="3.65"/>
    <x v="2"/>
  </r>
  <r>
    <d v="2022-11-07T00:00:00"/>
    <d v="1899-12-30T06:40:28"/>
    <d v="1899-12-30T15:58:52"/>
    <n v="4"/>
    <n v="4.07"/>
    <n v="3.21"/>
    <n v="3.48"/>
    <x v="2"/>
  </r>
  <r>
    <d v="2022-11-08T00:00:00"/>
    <d v="1899-12-30T06:42:16"/>
    <d v="1899-12-30T15:57:11"/>
    <n v="3"/>
    <n v="5.63"/>
    <n v="4.2300000000000004"/>
    <n v="4.6100000000000003"/>
    <x v="2"/>
  </r>
  <r>
    <d v="2022-11-09T00:00:00"/>
    <d v="1899-12-30T06:44:03"/>
    <d v="1899-12-30T15:55:33"/>
    <n v="6"/>
    <n v="3.14"/>
    <n v="1.65"/>
    <n v="2.96"/>
    <x v="2"/>
  </r>
  <r>
    <d v="2022-11-10T00:00:00"/>
    <d v="1899-12-30T06:45:51"/>
    <d v="1899-12-30T15:53:57"/>
    <n v="0"/>
    <n v="11.93"/>
    <n v="6.46"/>
    <n v="4.0599999999999996"/>
    <x v="2"/>
  </r>
  <r>
    <d v="2022-11-11T00:00:00"/>
    <d v="1899-12-30T06:47:38"/>
    <d v="1899-12-30T15:52:22"/>
    <n v="4"/>
    <n v="5.15"/>
    <n v="2.4900000000000002"/>
    <n v="3.84"/>
    <x v="2"/>
  </r>
  <r>
    <d v="2022-11-12T00:00:00"/>
    <d v="1899-12-30T06:49:24"/>
    <d v="1899-12-30T15:50:50"/>
    <n v="3"/>
    <n v="4.75"/>
    <n v="3.49"/>
    <n v="5.09"/>
    <x v="2"/>
  </r>
  <r>
    <d v="2022-11-13T00:00:00"/>
    <d v="1899-12-30T06:51:11"/>
    <d v="1899-12-30T15:49:20"/>
    <n v="3"/>
    <n v="4.16"/>
    <n v="3.02"/>
    <n v="4.1900000000000004"/>
    <x v="1"/>
  </r>
  <r>
    <d v="2022-11-14T00:00:00"/>
    <d v="1899-12-30T06:52:56"/>
    <d v="1899-12-30T15:47:52"/>
    <n v="2"/>
    <n v="5.19"/>
    <n v="2.94"/>
    <n v="4.9400000000000004"/>
    <x v="1"/>
  </r>
  <r>
    <d v="2022-11-15T00:00:00"/>
    <d v="1899-12-30T06:54:41"/>
    <d v="1899-12-30T15:46:27"/>
    <n v="8"/>
    <n v="1.38"/>
    <n v="0.4"/>
    <n v="6.48"/>
    <x v="1"/>
  </r>
  <r>
    <d v="2022-11-16T00:00:00"/>
    <d v="1899-12-30T06:56:26"/>
    <d v="1899-12-30T15:45:03"/>
    <n v="8"/>
    <n v="1.53"/>
    <n v="0.23"/>
    <n v="3.95"/>
    <x v="1"/>
  </r>
  <r>
    <d v="2022-11-17T00:00:00"/>
    <d v="1899-12-30T06:58:09"/>
    <d v="1899-12-30T15:43:42"/>
    <n v="2"/>
    <n v="4.1900000000000004"/>
    <n v="1.92"/>
    <n v="3.24"/>
    <x v="1"/>
  </r>
  <r>
    <d v="2022-11-18T00:00:00"/>
    <d v="1899-12-30T06:59:52"/>
    <d v="1899-12-30T15:42:24"/>
    <n v="5"/>
    <n v="3.63"/>
    <n v="1.48"/>
    <n v="2.96"/>
    <x v="1"/>
  </r>
  <r>
    <d v="2022-11-19T00:00:00"/>
    <d v="1899-12-30T07:01:35"/>
    <d v="1899-12-30T15:41:08"/>
    <n v="5"/>
    <n v="3.6"/>
    <n v="2.06"/>
    <n v="2.72"/>
    <x v="1"/>
  </r>
  <r>
    <d v="2022-11-20T00:00:00"/>
    <d v="1899-12-30T07:03:16"/>
    <d v="1899-12-30T15:39:54"/>
    <n v="2"/>
    <n v="6.14"/>
    <n v="5.07"/>
    <n v="3.94"/>
    <x v="1"/>
  </r>
  <r>
    <d v="2022-11-21T00:00:00"/>
    <d v="1899-12-30T07:04:56"/>
    <d v="1899-12-30T15:38:43"/>
    <n v="5"/>
    <n v="3.16"/>
    <n v="2.11"/>
    <n v="4.08"/>
    <x v="1"/>
  </r>
  <r>
    <d v="2022-11-22T00:00:00"/>
    <d v="1899-12-30T07:06:35"/>
    <d v="1899-12-30T15:37:35"/>
    <n v="4"/>
    <n v="4.0999999999999996"/>
    <n v="3.41"/>
    <n v="4.6100000000000003"/>
    <x v="1"/>
  </r>
  <r>
    <d v="2022-11-23T00:00:00"/>
    <d v="1899-12-30T07:08:13"/>
    <d v="1899-12-30T15:36:30"/>
    <n v="7"/>
    <n v="2.91"/>
    <n v="1.06"/>
    <n v="5.07"/>
    <x v="1"/>
  </r>
  <r>
    <d v="2022-11-24T00:00:00"/>
    <d v="1899-12-30T07:09:50"/>
    <d v="1899-12-30T15:35:27"/>
    <n v="6"/>
    <n v="3.18"/>
    <n v="1.37"/>
    <n v="4.16"/>
    <x v="1"/>
  </r>
  <r>
    <d v="2022-11-25T00:00:00"/>
    <d v="1899-12-30T07:11:26"/>
    <d v="1899-12-30T15:34:27"/>
    <n v="7"/>
    <n v="2.52"/>
    <n v="1.46"/>
    <n v="5.24"/>
    <x v="1"/>
  </r>
  <r>
    <d v="2022-11-26T00:00:00"/>
    <d v="1899-12-30T07:13:00"/>
    <d v="1899-12-30T15:33:30"/>
    <n v="6"/>
    <n v="3.85"/>
    <n v="1.1599999999999999"/>
    <n v="6.08"/>
    <x v="1"/>
  </r>
  <r>
    <d v="2022-11-27T00:00:00"/>
    <d v="1899-12-30T07:14:33"/>
    <d v="1899-12-30T15:32:36"/>
    <n v="8"/>
    <n v="1.84"/>
    <n v="0.47"/>
    <n v="4.66"/>
    <x v="1"/>
  </r>
  <r>
    <d v="2022-11-28T00:00:00"/>
    <d v="1899-12-30T07:16:04"/>
    <d v="1899-12-30T15:31:45"/>
    <n v="8"/>
    <n v="1.59"/>
    <n v="0.42"/>
    <n v="4.9800000000000004"/>
    <x v="1"/>
  </r>
  <r>
    <d v="2022-11-29T00:00:00"/>
    <d v="1899-12-30T07:17:33"/>
    <d v="1899-12-30T15:30:57"/>
    <n v="8"/>
    <n v="1.34"/>
    <n v="0.27"/>
    <n v="3.95"/>
    <x v="1"/>
  </r>
  <r>
    <d v="2022-11-30T00:00:00"/>
    <d v="1899-12-30T07:19:01"/>
    <d v="1899-12-30T15:30:12"/>
    <n v="8"/>
    <n v="1.1399999999999999"/>
    <n v="0"/>
    <n v="7.02"/>
    <x v="1"/>
  </r>
  <r>
    <d v="2022-12-01T00:00:00"/>
    <d v="1899-12-30T07:20:27"/>
    <d v="1899-12-30T15:29:31"/>
    <n v="7"/>
    <n v="2.4900000000000002"/>
    <n v="1.06"/>
    <n v="6.09"/>
    <x v="1"/>
  </r>
  <r>
    <d v="2022-12-02T00:00:00"/>
    <d v="1899-12-30T07:21:51"/>
    <d v="1899-12-30T15:28:52"/>
    <n v="6"/>
    <n v="2.37"/>
    <n v="1.6"/>
    <n v="5.87"/>
    <x v="1"/>
  </r>
  <r>
    <d v="2022-12-03T00:00:00"/>
    <d v="1899-12-30T07:23:13"/>
    <d v="1899-12-30T15:28:17"/>
    <n v="5"/>
    <n v="3.36"/>
    <n v="2.41"/>
    <n v="4.95"/>
    <x v="1"/>
  </r>
  <r>
    <d v="2022-12-04T00:00:00"/>
    <d v="1899-12-30T07:24:33"/>
    <d v="1899-12-30T15:27:44"/>
    <n v="8"/>
    <n v="1.32"/>
    <n v="0.54"/>
    <n v="5.16"/>
    <x v="1"/>
  </r>
  <r>
    <d v="2022-12-05T00:00:00"/>
    <d v="1899-12-30T07:25:51"/>
    <d v="1899-12-30T15:27:16"/>
    <n v="7"/>
    <n v="2.48"/>
    <n v="0.49"/>
    <n v="5.04"/>
    <x v="1"/>
  </r>
  <r>
    <d v="2022-12-06T00:00:00"/>
    <d v="1899-12-30T07:27:07"/>
    <d v="1899-12-30T15:26:50"/>
    <n v="7"/>
    <n v="2.2000000000000002"/>
    <n v="0.61"/>
    <n v="4.92"/>
    <x v="0"/>
  </r>
  <r>
    <d v="2022-12-07T00:00:00"/>
    <d v="1899-12-30T07:28:20"/>
    <d v="1899-12-30T15:26:28"/>
    <n v="7"/>
    <n v="2.87"/>
    <n v="0.35"/>
    <n v="5.03"/>
    <x v="0"/>
  </r>
  <r>
    <d v="2022-12-08T00:00:00"/>
    <d v="1899-12-30T07:29:31"/>
    <d v="1899-12-30T15:26:10"/>
    <n v="7"/>
    <n v="2.8"/>
    <n v="1.24"/>
    <n v="4.29"/>
    <x v="0"/>
  </r>
  <r>
    <d v="2022-12-09T00:00:00"/>
    <d v="1899-12-30T07:30:39"/>
    <d v="1899-12-30T15:25:54"/>
    <n v="6"/>
    <n v="2.95"/>
    <n v="1.42"/>
    <n v="4.25"/>
    <x v="0"/>
  </r>
  <r>
    <d v="2022-12-10T00:00:00"/>
    <d v="1899-12-30T07:31:45"/>
    <d v="1899-12-30T15:25:43"/>
    <n v="6"/>
    <n v="3.38"/>
    <n v="1.66"/>
    <n v="5.07"/>
    <x v="0"/>
  </r>
  <r>
    <d v="2022-12-11T00:00:00"/>
    <d v="1899-12-30T07:32:48"/>
    <d v="1899-12-30T15:25:34"/>
    <n v="7"/>
    <n v="2.11"/>
    <n v="0.84"/>
    <n v="5.38"/>
    <x v="0"/>
  </r>
  <r>
    <d v="2022-12-12T00:00:00"/>
    <d v="1899-12-30T07:33:49"/>
    <d v="1899-12-30T15:25:29"/>
    <n v="8"/>
    <n v="1.31"/>
    <n v="0.05"/>
    <n v="6.3"/>
    <x v="0"/>
  </r>
  <r>
    <d v="2022-12-13T00:00:00"/>
    <d v="1899-12-30T07:34:46"/>
    <d v="1899-12-30T15:25:28"/>
    <n v="7"/>
    <n v="2.0299999999999998"/>
    <n v="1.02"/>
    <n v="6.12"/>
    <x v="0"/>
  </r>
  <r>
    <d v="2022-12-14T00:00:00"/>
    <d v="1899-12-30T07:35:41"/>
    <d v="1899-12-30T15:25:30"/>
    <n v="8"/>
    <n v="1.5"/>
    <n v="0.14000000000000001"/>
    <n v="6.01"/>
    <x v="0"/>
  </r>
  <r>
    <d v="2022-12-15T00:00:00"/>
    <d v="1899-12-30T07:36:33"/>
    <d v="1899-12-30T15:25:36"/>
    <n v="5"/>
    <n v="3.8"/>
    <n v="0.24"/>
    <n v="4.92"/>
    <x v="0"/>
  </r>
  <r>
    <d v="2022-12-16T00:00:00"/>
    <d v="1899-12-30T07:37:22"/>
    <d v="1899-12-30T15:25:45"/>
    <n v="7"/>
    <n v="2.11"/>
    <n v="0.6"/>
    <n v="4.95"/>
    <x v="0"/>
  </r>
  <r>
    <d v="2022-12-17T00:00:00"/>
    <d v="1899-12-30T07:38:07"/>
    <d v="1899-12-30T15:25:58"/>
    <n v="7"/>
    <n v="2.2200000000000002"/>
    <n v="0.95"/>
    <n v="6.02"/>
    <x v="0"/>
  </r>
  <r>
    <d v="2022-12-18T00:00:00"/>
    <d v="1899-12-30T07:38:50"/>
    <d v="1899-12-30T15:26:14"/>
    <n v="7"/>
    <n v="2.82"/>
    <n v="0.3"/>
    <n v="4.6500000000000004"/>
    <x v="0"/>
  </r>
  <r>
    <d v="2022-12-19T00:00:00"/>
    <d v="1899-12-30T07:39:30"/>
    <d v="1899-12-30T15:26:34"/>
    <n v="8"/>
    <n v="1.25"/>
    <n v="0.32"/>
    <n v="6.04"/>
    <x v="0"/>
  </r>
  <r>
    <d v="2022-12-20T00:00:00"/>
    <d v="1899-12-30T07:40:06"/>
    <d v="1899-12-30T15:26:57"/>
    <n v="8"/>
    <n v="1.55"/>
    <n v="0.12"/>
    <n v="4.43"/>
    <x v="0"/>
  </r>
  <r>
    <d v="2022-12-21T00:00:00"/>
    <d v="1899-12-30T07:40:39"/>
    <d v="1899-12-30T15:27:24"/>
    <n v="8"/>
    <n v="1.77"/>
    <n v="0.14000000000000001"/>
    <n v="6.21"/>
    <x v="0"/>
  </r>
  <r>
    <d v="2022-12-22T00:00:00"/>
    <d v="1899-12-30T07:41:08"/>
    <d v="1899-12-30T15:27:54"/>
    <n v="8"/>
    <n v="1.31"/>
    <n v="0.17"/>
    <n v="4.8499999999999996"/>
    <x v="0"/>
  </r>
  <r>
    <d v="2022-12-23T00:00:00"/>
    <d v="1899-12-30T07:41:35"/>
    <d v="1899-12-30T15:28:27"/>
    <n v="6"/>
    <n v="3.04"/>
    <n v="0.72"/>
    <n v="4.12"/>
    <x v="0"/>
  </r>
  <r>
    <d v="2022-12-24T00:00:00"/>
    <d v="1899-12-30T07:41:58"/>
    <d v="1899-12-30T15:29:04"/>
    <n v="8"/>
    <n v="1.0900000000000001"/>
    <n v="0.09"/>
    <n v="6.07"/>
    <x v="0"/>
  </r>
  <r>
    <d v="2022-12-25T00:00:00"/>
    <d v="1899-12-30T07:42:17"/>
    <d v="1899-12-30T15:29:44"/>
    <n v="7"/>
    <n v="2.92"/>
    <n v="1.05"/>
    <n v="4.1399999999999997"/>
    <x v="0"/>
  </r>
  <r>
    <d v="2022-12-26T00:00:00"/>
    <d v="1899-12-30T07:42:33"/>
    <d v="1899-12-30T15:30:27"/>
    <n v="6"/>
    <n v="3.24"/>
    <n v="2.04"/>
    <n v="5.0199999999999996"/>
    <x v="0"/>
  </r>
  <r>
    <d v="2022-12-27T00:00:00"/>
    <d v="1899-12-30T07:42:46"/>
    <d v="1899-12-30T15:31:13"/>
    <n v="5"/>
    <n v="3.79"/>
    <n v="2.61"/>
    <n v="4.6500000000000004"/>
    <x v="0"/>
  </r>
  <r>
    <d v="2022-12-28T00:00:00"/>
    <d v="1899-12-30T07:42:55"/>
    <d v="1899-12-30T15:32:03"/>
    <n v="8"/>
    <n v="1.54"/>
    <n v="0.36"/>
    <n v="4.1900000000000004"/>
    <x v="0"/>
  </r>
  <r>
    <d v="2022-12-29T00:00:00"/>
    <d v="1899-12-30T07:43:01"/>
    <d v="1899-12-30T15:32:56"/>
    <n v="8"/>
    <n v="1.21"/>
    <n v="0.24"/>
    <n v="5.39"/>
    <x v="0"/>
  </r>
  <r>
    <d v="2022-12-30T00:00:00"/>
    <d v="1899-12-30T07:43:03"/>
    <d v="1899-12-30T15:33:51"/>
    <n v="5"/>
    <n v="3.76"/>
    <n v="0.22"/>
    <n v="4.0599999999999996"/>
    <x v="0"/>
  </r>
  <r>
    <d v="2022-12-31T00:00:00"/>
    <d v="1899-12-30T07:43:02"/>
    <d v="1899-12-30T15:34:50"/>
    <n v="8"/>
    <n v="1.98"/>
    <n v="0.03"/>
    <n v="5.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6C68F-03AA-47DA-BDCE-5BFB8406E567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K5:N16" firstHeaderRow="0" firstDataRow="1" firstDataCol="1"/>
  <pivotFields count="8">
    <pivotField numFmtId="14" showAll="0"/>
    <pivotField numFmtId="164" showAll="0"/>
    <pivotField numFmtId="164" showAll="0"/>
    <pivotField showAll="0"/>
    <pivotField dataField="1" showAll="0"/>
    <pivotField dataField="1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pobranie" fld="6" subtotal="average" baseField="7" baseItem="0"/>
    <dataField name="Średnia z oddanie" fld="5" subtotal="average" baseField="7" baseItem="0"/>
    <dataField name="Średnia z produkcja" fld="4" subtotal="average" baseField="7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BD48-EB4B-48E3-AED8-2E80CC323997}">
  <dimension ref="A1:G366"/>
  <sheetViews>
    <sheetView workbookViewId="0">
      <selection activeCell="B2" sqref="B2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</cols>
  <sheetData>
    <row r="1" spans="1:7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</row>
    <row r="3" spans="1:7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</row>
    <row r="4" spans="1:7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</row>
    <row r="5" spans="1:7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</row>
    <row r="6" spans="1:7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</row>
    <row r="7" spans="1:7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</row>
    <row r="8" spans="1:7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</row>
    <row r="9" spans="1:7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</row>
    <row r="10" spans="1:7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</row>
    <row r="11" spans="1:7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</row>
    <row r="12" spans="1:7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</row>
    <row r="13" spans="1:7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</row>
    <row r="14" spans="1:7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</row>
    <row r="15" spans="1:7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</row>
    <row r="16" spans="1:7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</row>
    <row r="17" spans="1:7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</row>
    <row r="18" spans="1:7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</row>
    <row r="19" spans="1:7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</row>
    <row r="20" spans="1:7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</row>
    <row r="21" spans="1:7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</row>
    <row r="22" spans="1:7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</row>
    <row r="23" spans="1:7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</row>
    <row r="24" spans="1:7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</row>
    <row r="25" spans="1:7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</row>
    <row r="26" spans="1:7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</row>
    <row r="27" spans="1:7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</row>
    <row r="28" spans="1:7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</row>
    <row r="29" spans="1:7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</row>
    <row r="30" spans="1:7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</row>
    <row r="31" spans="1:7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</row>
    <row r="32" spans="1:7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</row>
    <row r="33" spans="1:7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</row>
    <row r="34" spans="1:7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</row>
    <row r="35" spans="1:7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</row>
    <row r="36" spans="1:7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</row>
    <row r="37" spans="1:7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</row>
    <row r="38" spans="1:7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</row>
    <row r="39" spans="1:7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</row>
    <row r="40" spans="1:7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</row>
    <row r="41" spans="1:7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</row>
    <row r="42" spans="1:7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</row>
    <row r="43" spans="1:7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</row>
    <row r="44" spans="1:7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</row>
    <row r="45" spans="1:7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</row>
    <row r="46" spans="1:7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</row>
    <row r="47" spans="1:7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</row>
    <row r="48" spans="1:7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</row>
    <row r="49" spans="1:7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</row>
    <row r="50" spans="1:7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</row>
    <row r="51" spans="1:7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</row>
    <row r="52" spans="1:7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</row>
    <row r="53" spans="1:7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</row>
    <row r="54" spans="1:7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</row>
    <row r="55" spans="1:7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</row>
    <row r="56" spans="1:7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</row>
    <row r="57" spans="1:7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</row>
    <row r="58" spans="1:7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</row>
    <row r="59" spans="1:7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</row>
    <row r="60" spans="1:7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</row>
    <row r="61" spans="1:7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</row>
    <row r="62" spans="1:7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</row>
    <row r="63" spans="1:7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</row>
    <row r="64" spans="1:7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</row>
    <row r="65" spans="1:7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</row>
    <row r="66" spans="1:7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</row>
    <row r="67" spans="1:7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</row>
    <row r="68" spans="1:7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</row>
    <row r="69" spans="1:7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</row>
    <row r="70" spans="1:7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</row>
    <row r="71" spans="1:7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</row>
    <row r="72" spans="1:7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</row>
    <row r="73" spans="1:7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</row>
    <row r="74" spans="1:7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</row>
    <row r="75" spans="1:7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</row>
    <row r="76" spans="1:7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</row>
    <row r="77" spans="1:7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</row>
    <row r="78" spans="1:7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</row>
    <row r="79" spans="1:7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</row>
    <row r="80" spans="1:7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</row>
    <row r="81" spans="1:7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</row>
    <row r="82" spans="1:7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</row>
    <row r="83" spans="1:7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</row>
    <row r="84" spans="1:7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</row>
    <row r="85" spans="1:7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</row>
    <row r="86" spans="1:7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</row>
    <row r="87" spans="1:7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</row>
    <row r="88" spans="1:7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</row>
    <row r="89" spans="1:7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</row>
    <row r="90" spans="1:7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</row>
    <row r="91" spans="1:7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</row>
    <row r="92" spans="1:7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</row>
    <row r="93" spans="1:7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</row>
    <row r="94" spans="1:7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</row>
    <row r="95" spans="1:7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</row>
    <row r="96" spans="1:7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</row>
    <row r="97" spans="1:7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</row>
    <row r="98" spans="1:7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</row>
    <row r="99" spans="1:7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</row>
    <row r="100" spans="1:7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</row>
    <row r="101" spans="1:7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</row>
    <row r="102" spans="1:7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</row>
    <row r="103" spans="1:7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</row>
    <row r="104" spans="1:7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</row>
    <row r="105" spans="1:7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</row>
    <row r="106" spans="1:7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</row>
    <row r="107" spans="1:7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</row>
    <row r="108" spans="1:7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</row>
    <row r="109" spans="1:7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</row>
    <row r="110" spans="1:7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</row>
    <row r="111" spans="1:7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</row>
    <row r="112" spans="1:7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</row>
    <row r="113" spans="1:7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</row>
    <row r="114" spans="1:7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</row>
    <row r="115" spans="1:7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</row>
    <row r="116" spans="1:7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</row>
    <row r="117" spans="1:7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</row>
    <row r="118" spans="1:7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</row>
    <row r="119" spans="1:7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</row>
    <row r="120" spans="1:7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</row>
    <row r="121" spans="1:7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</row>
    <row r="122" spans="1:7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</row>
    <row r="123" spans="1:7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</row>
    <row r="124" spans="1:7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</row>
    <row r="125" spans="1:7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</row>
    <row r="126" spans="1:7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</row>
    <row r="127" spans="1:7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</row>
    <row r="128" spans="1:7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</row>
    <row r="129" spans="1:7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</row>
    <row r="130" spans="1:7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</row>
    <row r="131" spans="1:7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</row>
    <row r="132" spans="1:7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</row>
    <row r="133" spans="1:7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</row>
    <row r="134" spans="1:7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</row>
    <row r="135" spans="1:7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</row>
    <row r="136" spans="1:7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</row>
    <row r="137" spans="1:7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</row>
    <row r="138" spans="1:7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</row>
    <row r="139" spans="1:7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</row>
    <row r="140" spans="1:7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</row>
    <row r="141" spans="1:7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</row>
    <row r="142" spans="1:7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</row>
    <row r="143" spans="1:7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</row>
    <row r="144" spans="1:7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</row>
    <row r="145" spans="1:7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</row>
    <row r="146" spans="1:7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</row>
    <row r="147" spans="1:7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</row>
    <row r="148" spans="1:7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</row>
    <row r="149" spans="1:7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</row>
    <row r="150" spans="1:7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</row>
    <row r="151" spans="1:7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</row>
    <row r="152" spans="1:7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</row>
    <row r="153" spans="1:7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</row>
    <row r="154" spans="1:7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</row>
    <row r="155" spans="1:7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</row>
    <row r="156" spans="1:7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</row>
    <row r="157" spans="1:7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</row>
    <row r="158" spans="1:7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</row>
    <row r="159" spans="1:7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</row>
    <row r="160" spans="1:7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</row>
    <row r="161" spans="1:7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</row>
    <row r="162" spans="1:7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</row>
    <row r="163" spans="1:7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</row>
    <row r="164" spans="1:7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</row>
    <row r="165" spans="1:7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</row>
    <row r="166" spans="1:7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</row>
    <row r="167" spans="1:7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</row>
    <row r="168" spans="1:7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</row>
    <row r="169" spans="1:7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</row>
    <row r="170" spans="1:7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</row>
    <row r="171" spans="1:7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</row>
    <row r="172" spans="1:7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</row>
    <row r="173" spans="1:7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</row>
    <row r="174" spans="1:7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</row>
    <row r="175" spans="1:7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</row>
    <row r="176" spans="1:7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</row>
    <row r="177" spans="1:7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</row>
    <row r="178" spans="1:7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</row>
    <row r="179" spans="1:7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</row>
    <row r="180" spans="1:7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</row>
    <row r="181" spans="1:7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</row>
    <row r="182" spans="1:7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</row>
    <row r="183" spans="1:7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</row>
    <row r="184" spans="1:7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</row>
    <row r="185" spans="1:7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</row>
    <row r="186" spans="1:7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</row>
    <row r="187" spans="1:7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</row>
    <row r="188" spans="1:7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</row>
    <row r="189" spans="1:7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</row>
    <row r="190" spans="1:7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</row>
    <row r="191" spans="1:7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</row>
    <row r="192" spans="1:7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</row>
    <row r="193" spans="1:7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</row>
    <row r="194" spans="1:7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</row>
    <row r="195" spans="1:7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</row>
    <row r="196" spans="1:7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</row>
    <row r="197" spans="1:7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</row>
    <row r="198" spans="1:7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</row>
    <row r="199" spans="1:7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</row>
    <row r="200" spans="1:7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</row>
    <row r="201" spans="1:7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</row>
    <row r="202" spans="1:7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</row>
    <row r="203" spans="1:7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</row>
    <row r="204" spans="1:7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</row>
    <row r="205" spans="1:7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</row>
    <row r="206" spans="1:7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</row>
    <row r="207" spans="1:7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</row>
    <row r="208" spans="1:7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</row>
    <row r="209" spans="1:7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</row>
    <row r="210" spans="1:7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</row>
    <row r="211" spans="1:7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</row>
    <row r="212" spans="1:7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</row>
    <row r="213" spans="1:7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</row>
    <row r="214" spans="1:7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</row>
    <row r="215" spans="1:7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</row>
    <row r="216" spans="1:7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</row>
    <row r="217" spans="1:7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</row>
    <row r="218" spans="1:7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</row>
    <row r="219" spans="1:7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</row>
    <row r="220" spans="1:7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</row>
    <row r="221" spans="1:7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</row>
    <row r="222" spans="1:7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</row>
    <row r="223" spans="1:7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</row>
    <row r="224" spans="1:7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</row>
    <row r="225" spans="1:7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</row>
    <row r="226" spans="1:7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</row>
    <row r="227" spans="1:7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</row>
    <row r="228" spans="1:7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</row>
    <row r="229" spans="1:7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</row>
    <row r="230" spans="1:7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</row>
    <row r="231" spans="1:7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</row>
    <row r="232" spans="1:7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</row>
    <row r="233" spans="1:7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</row>
    <row r="234" spans="1:7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</row>
    <row r="235" spans="1:7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</row>
    <row r="236" spans="1:7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</row>
    <row r="237" spans="1:7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</row>
    <row r="238" spans="1:7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</row>
    <row r="239" spans="1:7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</row>
    <row r="240" spans="1:7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</row>
    <row r="241" spans="1:7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</row>
    <row r="242" spans="1:7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</row>
    <row r="243" spans="1:7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</row>
    <row r="244" spans="1:7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</row>
    <row r="245" spans="1:7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</row>
    <row r="246" spans="1:7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</row>
    <row r="247" spans="1:7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</row>
    <row r="248" spans="1:7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</row>
    <row r="249" spans="1:7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</row>
    <row r="250" spans="1:7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</row>
    <row r="251" spans="1:7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</row>
    <row r="252" spans="1:7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</row>
    <row r="253" spans="1:7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</row>
    <row r="254" spans="1:7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</row>
    <row r="255" spans="1:7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</row>
    <row r="256" spans="1:7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</row>
    <row r="257" spans="1:7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</row>
    <row r="258" spans="1:7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</row>
    <row r="259" spans="1:7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</row>
    <row r="260" spans="1:7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</row>
    <row r="261" spans="1:7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</row>
    <row r="262" spans="1:7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</row>
    <row r="263" spans="1:7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</row>
    <row r="264" spans="1:7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</row>
    <row r="265" spans="1:7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</row>
    <row r="266" spans="1:7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</row>
    <row r="267" spans="1:7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</row>
    <row r="268" spans="1:7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</row>
    <row r="269" spans="1:7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</row>
    <row r="270" spans="1:7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</row>
    <row r="271" spans="1:7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</row>
    <row r="272" spans="1:7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</row>
    <row r="273" spans="1:7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</row>
    <row r="274" spans="1:7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</row>
    <row r="275" spans="1:7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</row>
    <row r="276" spans="1:7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</row>
    <row r="277" spans="1:7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</row>
    <row r="278" spans="1:7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</row>
    <row r="279" spans="1:7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</row>
    <row r="280" spans="1:7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</row>
    <row r="281" spans="1:7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</row>
    <row r="282" spans="1:7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</row>
    <row r="283" spans="1:7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</row>
    <row r="284" spans="1:7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</row>
    <row r="285" spans="1:7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</row>
    <row r="286" spans="1:7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</row>
    <row r="287" spans="1:7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</row>
    <row r="288" spans="1:7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</row>
    <row r="289" spans="1:7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</row>
    <row r="290" spans="1:7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</row>
    <row r="291" spans="1:7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</row>
    <row r="292" spans="1:7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</row>
    <row r="293" spans="1:7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</row>
    <row r="294" spans="1:7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</row>
    <row r="295" spans="1:7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</row>
    <row r="296" spans="1:7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</row>
    <row r="297" spans="1:7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</row>
    <row r="298" spans="1:7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</row>
    <row r="299" spans="1:7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</row>
    <row r="300" spans="1:7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</row>
    <row r="301" spans="1:7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</row>
    <row r="302" spans="1:7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</row>
    <row r="303" spans="1:7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</row>
    <row r="304" spans="1:7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</row>
    <row r="305" spans="1:7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</row>
    <row r="306" spans="1:7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</row>
    <row r="307" spans="1:7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</row>
    <row r="308" spans="1:7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</row>
    <row r="309" spans="1:7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</row>
    <row r="310" spans="1:7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</row>
    <row r="311" spans="1:7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</row>
    <row r="312" spans="1:7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</row>
    <row r="313" spans="1:7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</row>
    <row r="314" spans="1:7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</row>
    <row r="315" spans="1:7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</row>
    <row r="316" spans="1:7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</row>
    <row r="317" spans="1:7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</row>
    <row r="318" spans="1:7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</row>
    <row r="319" spans="1:7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</row>
    <row r="320" spans="1:7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</row>
    <row r="321" spans="1:7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</row>
    <row r="322" spans="1:7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</row>
    <row r="323" spans="1:7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</row>
    <row r="324" spans="1:7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</row>
    <row r="325" spans="1:7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</row>
    <row r="326" spans="1:7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</row>
    <row r="327" spans="1:7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</row>
    <row r="328" spans="1:7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</row>
    <row r="329" spans="1:7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</row>
    <row r="330" spans="1:7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</row>
    <row r="331" spans="1:7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</row>
    <row r="332" spans="1:7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</row>
    <row r="333" spans="1:7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</row>
    <row r="334" spans="1:7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</row>
    <row r="335" spans="1:7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</row>
    <row r="336" spans="1:7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</row>
    <row r="337" spans="1:7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</row>
    <row r="338" spans="1:7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</row>
    <row r="339" spans="1:7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</row>
    <row r="340" spans="1:7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</row>
    <row r="341" spans="1:7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</row>
    <row r="342" spans="1:7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</row>
    <row r="343" spans="1:7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</row>
    <row r="344" spans="1:7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</row>
    <row r="345" spans="1:7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</row>
    <row r="346" spans="1:7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</row>
    <row r="347" spans="1:7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</row>
    <row r="348" spans="1:7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</row>
    <row r="349" spans="1:7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</row>
    <row r="350" spans="1:7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</row>
    <row r="351" spans="1:7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</row>
    <row r="352" spans="1:7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</row>
    <row r="353" spans="1:7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</row>
    <row r="354" spans="1:7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</row>
    <row r="355" spans="1:7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</row>
    <row r="356" spans="1:7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</row>
    <row r="357" spans="1:7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</row>
    <row r="358" spans="1:7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</row>
    <row r="359" spans="1:7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</row>
    <row r="360" spans="1:7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</row>
    <row r="361" spans="1:7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</row>
    <row r="362" spans="1:7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</row>
    <row r="363" spans="1:7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</row>
    <row r="364" spans="1:7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</row>
    <row r="365" spans="1:7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</row>
    <row r="366" spans="1:7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CF49-70BA-4EC1-BE57-60AF24DD05C1}">
  <dimension ref="A1:I366"/>
  <sheetViews>
    <sheetView workbookViewId="0">
      <selection activeCell="I2" sqref="I2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6" t="s">
        <v>7</v>
      </c>
    </row>
    <row r="2" spans="1:9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  <c r="H2">
        <f>G2+E2-F2</f>
        <v>9.0500000000000007</v>
      </c>
      <c r="I2">
        <f>SUM(H2:H366)</f>
        <v>2715.320000000002</v>
      </c>
    </row>
    <row r="3" spans="1:9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  <c r="H3">
        <f t="shared" ref="H3:H66" si="0">G3+E3-F3</f>
        <v>7.23</v>
      </c>
    </row>
    <row r="4" spans="1:9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  <c r="H4">
        <f t="shared" si="0"/>
        <v>3.84</v>
      </c>
    </row>
    <row r="5" spans="1:9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  <c r="H5">
        <f t="shared" si="0"/>
        <v>6.63</v>
      </c>
    </row>
    <row r="6" spans="1:9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  <c r="H6">
        <f t="shared" si="0"/>
        <v>6.5300000000000011</v>
      </c>
    </row>
    <row r="7" spans="1:9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  <c r="H7">
        <f t="shared" si="0"/>
        <v>3.9800000000000004</v>
      </c>
    </row>
    <row r="8" spans="1:9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  <c r="H8">
        <f t="shared" si="0"/>
        <v>7.7900000000000009</v>
      </c>
    </row>
    <row r="9" spans="1:9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  <c r="H9">
        <f t="shared" si="0"/>
        <v>7.1300000000000008</v>
      </c>
    </row>
    <row r="10" spans="1:9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  <c r="H10">
        <f t="shared" si="0"/>
        <v>7.17</v>
      </c>
    </row>
    <row r="11" spans="1:9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  <c r="H11">
        <f t="shared" si="0"/>
        <v>3.7299999999999995</v>
      </c>
    </row>
    <row r="12" spans="1:9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  <c r="H12">
        <f t="shared" si="0"/>
        <v>4.3199999999999994</v>
      </c>
    </row>
    <row r="13" spans="1:9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  <c r="H13">
        <f t="shared" si="0"/>
        <v>4.3899999999999997</v>
      </c>
    </row>
    <row r="14" spans="1:9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  <c r="H14">
        <f t="shared" si="0"/>
        <v>7.42</v>
      </c>
    </row>
    <row r="15" spans="1:9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  <c r="H15">
        <f t="shared" si="0"/>
        <v>7.6999999999999993</v>
      </c>
    </row>
    <row r="16" spans="1:9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  <c r="H16">
        <f t="shared" si="0"/>
        <v>3.87</v>
      </c>
    </row>
    <row r="17" spans="1:8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  <c r="H17">
        <f t="shared" si="0"/>
        <v>3.0799999999999992</v>
      </c>
    </row>
    <row r="18" spans="1:8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  <c r="H18">
        <f t="shared" si="0"/>
        <v>8.02</v>
      </c>
    </row>
    <row r="19" spans="1:8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  <c r="H19">
        <f t="shared" si="0"/>
        <v>5.2</v>
      </c>
    </row>
    <row r="20" spans="1:8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  <c r="H20">
        <f t="shared" si="0"/>
        <v>4.4399999999999995</v>
      </c>
    </row>
    <row r="21" spans="1:8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  <c r="H21">
        <f t="shared" si="0"/>
        <v>3.55</v>
      </c>
    </row>
    <row r="22" spans="1:8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  <c r="H22">
        <f t="shared" si="0"/>
        <v>4.92</v>
      </c>
    </row>
    <row r="23" spans="1:8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  <c r="H23">
        <f t="shared" si="0"/>
        <v>4.6499999999999995</v>
      </c>
    </row>
    <row r="24" spans="1:8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  <c r="H24">
        <f t="shared" si="0"/>
        <v>3.0199999999999996</v>
      </c>
    </row>
    <row r="25" spans="1:8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  <c r="H25">
        <f t="shared" si="0"/>
        <v>4.0600000000000005</v>
      </c>
    </row>
    <row r="26" spans="1:8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  <c r="H26">
        <f t="shared" si="0"/>
        <v>4.5199999999999996</v>
      </c>
    </row>
    <row r="27" spans="1:8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  <c r="H27">
        <f t="shared" si="0"/>
        <v>4.4400000000000013</v>
      </c>
    </row>
    <row r="28" spans="1:8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  <c r="H28">
        <f t="shared" si="0"/>
        <v>5.0599999999999996</v>
      </c>
    </row>
    <row r="29" spans="1:8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  <c r="H29">
        <f t="shared" si="0"/>
        <v>3.4699999999999998</v>
      </c>
    </row>
    <row r="30" spans="1:8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  <c r="H30">
        <f t="shared" si="0"/>
        <v>4.4399999999999995</v>
      </c>
    </row>
    <row r="31" spans="1:8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  <c r="H31">
        <f t="shared" si="0"/>
        <v>4.42</v>
      </c>
    </row>
    <row r="32" spans="1:8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  <c r="H32">
        <f t="shared" si="0"/>
        <v>4.6099999999999994</v>
      </c>
    </row>
    <row r="33" spans="1:8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  <c r="H33">
        <f t="shared" si="0"/>
        <v>6.12</v>
      </c>
    </row>
    <row r="34" spans="1:8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  <c r="H34">
        <f t="shared" si="0"/>
        <v>6.6899999999999995</v>
      </c>
    </row>
    <row r="35" spans="1:8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  <c r="H35">
        <f t="shared" si="0"/>
        <v>4.67</v>
      </c>
    </row>
    <row r="36" spans="1:8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  <c r="H36">
        <f t="shared" si="0"/>
        <v>7.4</v>
      </c>
    </row>
    <row r="37" spans="1:8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  <c r="H37">
        <f t="shared" si="0"/>
        <v>5.9899999999999993</v>
      </c>
    </row>
    <row r="38" spans="1:8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  <c r="H38">
        <f t="shared" si="0"/>
        <v>7.32</v>
      </c>
    </row>
    <row r="39" spans="1:8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  <c r="H39">
        <f t="shared" si="0"/>
        <v>7.8099999999999987</v>
      </c>
    </row>
    <row r="40" spans="1:8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  <c r="H40">
        <f t="shared" si="0"/>
        <v>7.3999999999999995</v>
      </c>
    </row>
    <row r="41" spans="1:8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  <c r="H41">
        <f t="shared" si="0"/>
        <v>4.9000000000000004</v>
      </c>
    </row>
    <row r="42" spans="1:8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  <c r="H42">
        <f t="shared" si="0"/>
        <v>3.08</v>
      </c>
    </row>
    <row r="43" spans="1:8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  <c r="H43">
        <f t="shared" si="0"/>
        <v>5.12</v>
      </c>
    </row>
    <row r="44" spans="1:8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  <c r="H44">
        <f t="shared" si="0"/>
        <v>4.8899999999999997</v>
      </c>
    </row>
    <row r="45" spans="1:8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  <c r="H45">
        <f t="shared" si="0"/>
        <v>6.18</v>
      </c>
    </row>
    <row r="46" spans="1:8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  <c r="H46">
        <f t="shared" si="0"/>
        <v>5.8000000000000007</v>
      </c>
    </row>
    <row r="47" spans="1:8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  <c r="H47">
        <f t="shared" si="0"/>
        <v>5.16</v>
      </c>
    </row>
    <row r="48" spans="1:8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  <c r="H48">
        <f t="shared" si="0"/>
        <v>3.01</v>
      </c>
    </row>
    <row r="49" spans="1:8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  <c r="H49">
        <f t="shared" si="0"/>
        <v>7.27</v>
      </c>
    </row>
    <row r="50" spans="1:8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  <c r="H50">
        <f t="shared" si="0"/>
        <v>6.0600000000000005</v>
      </c>
    </row>
    <row r="51" spans="1:8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  <c r="H51">
        <f t="shared" si="0"/>
        <v>4.4499999999999993</v>
      </c>
    </row>
    <row r="52" spans="1:8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  <c r="H52">
        <f t="shared" si="0"/>
        <v>8.3600000000000012</v>
      </c>
    </row>
    <row r="53" spans="1:8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  <c r="H53">
        <f t="shared" si="0"/>
        <v>9.2899999999999991</v>
      </c>
    </row>
    <row r="54" spans="1:8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  <c r="H54">
        <f t="shared" si="0"/>
        <v>7.9899999999999993</v>
      </c>
    </row>
    <row r="55" spans="1:8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  <c r="H55">
        <f t="shared" si="0"/>
        <v>5.84</v>
      </c>
    </row>
    <row r="56" spans="1:8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  <c r="H56">
        <f t="shared" si="0"/>
        <v>8.18</v>
      </c>
    </row>
    <row r="57" spans="1:8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  <c r="H57">
        <f t="shared" si="0"/>
        <v>7.7999999999999989</v>
      </c>
    </row>
    <row r="58" spans="1:8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  <c r="H58">
        <f t="shared" si="0"/>
        <v>7.24</v>
      </c>
    </row>
    <row r="59" spans="1:8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  <c r="H59">
        <f t="shared" si="0"/>
        <v>7.8100000000000005</v>
      </c>
    </row>
    <row r="60" spans="1:8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  <c r="H60">
        <f t="shared" si="0"/>
        <v>4.8899999999999997</v>
      </c>
    </row>
    <row r="61" spans="1:8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  <c r="H61">
        <f t="shared" si="0"/>
        <v>5.34</v>
      </c>
    </row>
    <row r="62" spans="1:8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  <c r="H62">
        <f t="shared" si="0"/>
        <v>3.7300000000000004</v>
      </c>
    </row>
    <row r="63" spans="1:8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  <c r="H63">
        <f t="shared" si="0"/>
        <v>4.1900000000000004</v>
      </c>
    </row>
    <row r="64" spans="1:8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  <c r="H64">
        <f t="shared" si="0"/>
        <v>7.7200000000000015</v>
      </c>
    </row>
    <row r="65" spans="1:8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  <c r="H65">
        <f t="shared" si="0"/>
        <v>8.43</v>
      </c>
    </row>
    <row r="66" spans="1:8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  <c r="H66">
        <f t="shared" si="0"/>
        <v>8.11</v>
      </c>
    </row>
    <row r="67" spans="1:8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  <c r="H67">
        <f t="shared" ref="H67:H130" si="1">G67+E67-F67</f>
        <v>4.67</v>
      </c>
    </row>
    <row r="68" spans="1:8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  <c r="H68">
        <f t="shared" si="1"/>
        <v>4.83</v>
      </c>
    </row>
    <row r="69" spans="1:8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  <c r="H69">
        <f t="shared" si="1"/>
        <v>4.99</v>
      </c>
    </row>
    <row r="70" spans="1:8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  <c r="H70">
        <f t="shared" si="1"/>
        <v>7.9700000000000006</v>
      </c>
    </row>
    <row r="71" spans="1:8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  <c r="H71">
        <f t="shared" si="1"/>
        <v>4.830000000000001</v>
      </c>
    </row>
    <row r="72" spans="1:8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  <c r="H72">
        <f t="shared" si="1"/>
        <v>8.91</v>
      </c>
    </row>
    <row r="73" spans="1:8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  <c r="H73">
        <f t="shared" si="1"/>
        <v>10.6</v>
      </c>
    </row>
    <row r="74" spans="1:8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  <c r="H74">
        <f t="shared" si="1"/>
        <v>5.74</v>
      </c>
    </row>
    <row r="75" spans="1:8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  <c r="H75">
        <f t="shared" si="1"/>
        <v>5.23</v>
      </c>
    </row>
    <row r="76" spans="1:8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  <c r="H76">
        <f t="shared" si="1"/>
        <v>9.23</v>
      </c>
    </row>
    <row r="77" spans="1:8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  <c r="H77">
        <f t="shared" si="1"/>
        <v>5.17</v>
      </c>
    </row>
    <row r="78" spans="1:8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  <c r="H78">
        <f t="shared" si="1"/>
        <v>8.9700000000000006</v>
      </c>
    </row>
    <row r="79" spans="1:8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  <c r="H79">
        <f t="shared" si="1"/>
        <v>11.27</v>
      </c>
    </row>
    <row r="80" spans="1:8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  <c r="H80">
        <f t="shared" si="1"/>
        <v>9.5399999999999991</v>
      </c>
    </row>
    <row r="81" spans="1:8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  <c r="H81">
        <f t="shared" si="1"/>
        <v>5.4499999999999993</v>
      </c>
    </row>
    <row r="82" spans="1:8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  <c r="H82">
        <f t="shared" si="1"/>
        <v>5.24</v>
      </c>
    </row>
    <row r="83" spans="1:8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  <c r="H83">
        <f t="shared" si="1"/>
        <v>9.9099999999999984</v>
      </c>
    </row>
    <row r="84" spans="1:8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  <c r="H84">
        <f t="shared" si="1"/>
        <v>9.9</v>
      </c>
    </row>
    <row r="85" spans="1:8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  <c r="H85">
        <f t="shared" si="1"/>
        <v>4.87</v>
      </c>
    </row>
    <row r="86" spans="1:8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  <c r="H86">
        <f t="shared" si="1"/>
        <v>9.4</v>
      </c>
    </row>
    <row r="87" spans="1:8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  <c r="H87">
        <f t="shared" si="1"/>
        <v>9.5200000000000014</v>
      </c>
    </row>
    <row r="88" spans="1:8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  <c r="H88">
        <f t="shared" si="1"/>
        <v>4.8899999999999988</v>
      </c>
    </row>
    <row r="89" spans="1:8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  <c r="H89">
        <f t="shared" si="1"/>
        <v>4.120000000000001</v>
      </c>
    </row>
    <row r="90" spans="1:8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  <c r="H90">
        <f t="shared" si="1"/>
        <v>9.19</v>
      </c>
    </row>
    <row r="91" spans="1:8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  <c r="H91">
        <f t="shared" si="1"/>
        <v>9.8500000000000014</v>
      </c>
    </row>
    <row r="92" spans="1:8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  <c r="H92">
        <f t="shared" si="1"/>
        <v>5.64</v>
      </c>
    </row>
    <row r="93" spans="1:8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  <c r="H93">
        <f t="shared" si="1"/>
        <v>9.77</v>
      </c>
    </row>
    <row r="94" spans="1:8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  <c r="H94">
        <f t="shared" si="1"/>
        <v>5.33</v>
      </c>
    </row>
    <row r="95" spans="1:8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  <c r="H95">
        <f t="shared" si="1"/>
        <v>5.0999999999999996</v>
      </c>
    </row>
    <row r="96" spans="1:8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  <c r="H96">
        <f t="shared" si="1"/>
        <v>5.2600000000000007</v>
      </c>
    </row>
    <row r="97" spans="1:8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  <c r="H97">
        <f t="shared" si="1"/>
        <v>6.35</v>
      </c>
    </row>
    <row r="98" spans="1:8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  <c r="H98">
        <f t="shared" si="1"/>
        <v>5.44</v>
      </c>
    </row>
    <row r="99" spans="1:8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  <c r="H99">
        <f t="shared" si="1"/>
        <v>12.65</v>
      </c>
    </row>
    <row r="100" spans="1:8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  <c r="H100">
        <f t="shared" si="1"/>
        <v>11.14</v>
      </c>
    </row>
    <row r="101" spans="1:8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  <c r="H101">
        <f t="shared" si="1"/>
        <v>9.35</v>
      </c>
    </row>
    <row r="102" spans="1:8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  <c r="H102">
        <f t="shared" si="1"/>
        <v>5.3</v>
      </c>
    </row>
    <row r="103" spans="1:8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  <c r="H103">
        <f t="shared" si="1"/>
        <v>7.1799999999999988</v>
      </c>
    </row>
    <row r="104" spans="1:8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  <c r="H104">
        <f t="shared" si="1"/>
        <v>7.3199999999999994</v>
      </c>
    </row>
    <row r="105" spans="1:8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  <c r="H105">
        <f t="shared" si="1"/>
        <v>11.209999999999999</v>
      </c>
    </row>
    <row r="106" spans="1:8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  <c r="H106">
        <f t="shared" si="1"/>
        <v>5.93</v>
      </c>
    </row>
    <row r="107" spans="1:8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  <c r="H107">
        <f t="shared" si="1"/>
        <v>5.4700000000000006</v>
      </c>
    </row>
    <row r="108" spans="1:8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  <c r="H108">
        <f t="shared" si="1"/>
        <v>3.7399999999999998</v>
      </c>
    </row>
    <row r="109" spans="1:8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  <c r="H109">
        <f t="shared" si="1"/>
        <v>4.1500000000000004</v>
      </c>
    </row>
    <row r="110" spans="1:8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  <c r="H110">
        <f t="shared" si="1"/>
        <v>4.6400000000000006</v>
      </c>
    </row>
    <row r="111" spans="1:8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  <c r="H111">
        <f t="shared" si="1"/>
        <v>7.0299999999999994</v>
      </c>
    </row>
    <row r="112" spans="1:8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  <c r="H112">
        <f t="shared" si="1"/>
        <v>11.639999999999999</v>
      </c>
    </row>
    <row r="113" spans="1:8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  <c r="H113">
        <f t="shared" si="1"/>
        <v>5.44</v>
      </c>
    </row>
    <row r="114" spans="1:8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  <c r="H114">
        <f t="shared" si="1"/>
        <v>9.5599999999999987</v>
      </c>
    </row>
    <row r="115" spans="1:8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  <c r="H115">
        <f t="shared" si="1"/>
        <v>10.59</v>
      </c>
    </row>
    <row r="116" spans="1:8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  <c r="H116">
        <f t="shared" si="1"/>
        <v>5.2899999999999991</v>
      </c>
    </row>
    <row r="117" spans="1:8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  <c r="H117">
        <f t="shared" si="1"/>
        <v>4.66</v>
      </c>
    </row>
    <row r="118" spans="1:8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  <c r="H118">
        <f t="shared" si="1"/>
        <v>5.3900000000000006</v>
      </c>
    </row>
    <row r="119" spans="1:8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  <c r="H119">
        <f t="shared" si="1"/>
        <v>4.43</v>
      </c>
    </row>
    <row r="120" spans="1:8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  <c r="H120">
        <f t="shared" si="1"/>
        <v>7.8299999999999992</v>
      </c>
    </row>
    <row r="121" spans="1:8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  <c r="H121">
        <f t="shared" si="1"/>
        <v>4.38</v>
      </c>
    </row>
    <row r="122" spans="1:8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  <c r="H122">
        <f t="shared" si="1"/>
        <v>5.0599999999999996</v>
      </c>
    </row>
    <row r="123" spans="1:8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  <c r="H123">
        <f t="shared" si="1"/>
        <v>10.3</v>
      </c>
    </row>
    <row r="124" spans="1:8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  <c r="H124">
        <f t="shared" si="1"/>
        <v>4.99</v>
      </c>
    </row>
    <row r="125" spans="1:8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  <c r="H125">
        <f t="shared" si="1"/>
        <v>11.290000000000001</v>
      </c>
    </row>
    <row r="126" spans="1:8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  <c r="H126">
        <f t="shared" si="1"/>
        <v>11.01</v>
      </c>
    </row>
    <row r="127" spans="1:8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  <c r="H127">
        <f t="shared" si="1"/>
        <v>7.0299999999999994</v>
      </c>
    </row>
    <row r="128" spans="1:8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  <c r="H128">
        <f t="shared" si="1"/>
        <v>4.3999999999999995</v>
      </c>
    </row>
    <row r="129" spans="1:8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  <c r="H129">
        <f t="shared" si="1"/>
        <v>4.5100000000000007</v>
      </c>
    </row>
    <row r="130" spans="1:8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  <c r="H130">
        <f t="shared" si="1"/>
        <v>4.49</v>
      </c>
    </row>
    <row r="131" spans="1:8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  <c r="H131">
        <f t="shared" ref="H131:H194" si="2">G131+E131-F131</f>
        <v>5.16</v>
      </c>
    </row>
    <row r="132" spans="1:8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  <c r="H132">
        <f t="shared" si="2"/>
        <v>7.8500000000000005</v>
      </c>
    </row>
    <row r="133" spans="1:8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  <c r="H133">
        <f t="shared" si="2"/>
        <v>10.39</v>
      </c>
    </row>
    <row r="134" spans="1:8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  <c r="H134">
        <f t="shared" si="2"/>
        <v>9.629999999999999</v>
      </c>
    </row>
    <row r="135" spans="1:8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  <c r="H135">
        <f t="shared" si="2"/>
        <v>3.92</v>
      </c>
    </row>
    <row r="136" spans="1:8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  <c r="H136">
        <f t="shared" si="2"/>
        <v>8.85</v>
      </c>
    </row>
    <row r="137" spans="1:8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  <c r="H137">
        <f t="shared" si="2"/>
        <v>12.84</v>
      </c>
    </row>
    <row r="138" spans="1:8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  <c r="H138">
        <f t="shared" si="2"/>
        <v>10.190000000000001</v>
      </c>
    </row>
    <row r="139" spans="1:8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  <c r="H139">
        <f t="shared" si="2"/>
        <v>11.969999999999999</v>
      </c>
    </row>
    <row r="140" spans="1:8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  <c r="H140">
        <f t="shared" si="2"/>
        <v>4.3499999999999996</v>
      </c>
    </row>
    <row r="141" spans="1:8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  <c r="H141">
        <f t="shared" si="2"/>
        <v>4.6000000000000005</v>
      </c>
    </row>
    <row r="142" spans="1:8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  <c r="H142">
        <f t="shared" si="2"/>
        <v>5.27</v>
      </c>
    </row>
    <row r="143" spans="1:8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  <c r="H143">
        <f t="shared" si="2"/>
        <v>12.920000000000002</v>
      </c>
    </row>
    <row r="144" spans="1:8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  <c r="H144">
        <f t="shared" si="2"/>
        <v>5.73</v>
      </c>
    </row>
    <row r="145" spans="1:8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  <c r="H145">
        <f t="shared" si="2"/>
        <v>5.08</v>
      </c>
    </row>
    <row r="146" spans="1:8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  <c r="H146">
        <f t="shared" si="2"/>
        <v>5.34</v>
      </c>
    </row>
    <row r="147" spans="1:8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  <c r="H147">
        <f t="shared" si="2"/>
        <v>4.96</v>
      </c>
    </row>
    <row r="148" spans="1:8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  <c r="H148">
        <f t="shared" si="2"/>
        <v>5.49</v>
      </c>
    </row>
    <row r="149" spans="1:8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  <c r="H149">
        <f t="shared" si="2"/>
        <v>4.54</v>
      </c>
    </row>
    <row r="150" spans="1:8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  <c r="H150">
        <f t="shared" si="2"/>
        <v>7</v>
      </c>
    </row>
    <row r="151" spans="1:8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  <c r="H151">
        <f t="shared" si="2"/>
        <v>7.4499999999999993</v>
      </c>
    </row>
    <row r="152" spans="1:8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  <c r="H152">
        <f t="shared" si="2"/>
        <v>9.69</v>
      </c>
    </row>
    <row r="153" spans="1:8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  <c r="H153">
        <f t="shared" si="2"/>
        <v>11.900000000000002</v>
      </c>
    </row>
    <row r="154" spans="1:8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  <c r="H154">
        <f t="shared" si="2"/>
        <v>5.85</v>
      </c>
    </row>
    <row r="155" spans="1:8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  <c r="H155">
        <f t="shared" si="2"/>
        <v>10.73</v>
      </c>
    </row>
    <row r="156" spans="1:8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  <c r="H156">
        <f t="shared" si="2"/>
        <v>5.5600000000000005</v>
      </c>
    </row>
    <row r="157" spans="1:8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  <c r="H157">
        <f t="shared" si="2"/>
        <v>8.19</v>
      </c>
    </row>
    <row r="158" spans="1:8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  <c r="H158">
        <f t="shared" si="2"/>
        <v>10.66</v>
      </c>
    </row>
    <row r="159" spans="1:8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  <c r="H159">
        <f t="shared" si="2"/>
        <v>10.45</v>
      </c>
    </row>
    <row r="160" spans="1:8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  <c r="H160">
        <f t="shared" si="2"/>
        <v>9.1900000000000013</v>
      </c>
    </row>
    <row r="161" spans="1:8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  <c r="H161">
        <f t="shared" si="2"/>
        <v>5.48</v>
      </c>
    </row>
    <row r="162" spans="1:8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  <c r="H162">
        <f t="shared" si="2"/>
        <v>8.9499999999999993</v>
      </c>
    </row>
    <row r="163" spans="1:8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  <c r="H163">
        <f t="shared" si="2"/>
        <v>7.6</v>
      </c>
    </row>
    <row r="164" spans="1:8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  <c r="H164">
        <f t="shared" si="2"/>
        <v>6.34</v>
      </c>
    </row>
    <row r="165" spans="1:8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  <c r="H165">
        <f t="shared" si="2"/>
        <v>5.3999999999999986</v>
      </c>
    </row>
    <row r="166" spans="1:8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  <c r="H166">
        <f t="shared" si="2"/>
        <v>11.3</v>
      </c>
    </row>
    <row r="167" spans="1:8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  <c r="H167">
        <f t="shared" si="2"/>
        <v>9.509999999999998</v>
      </c>
    </row>
    <row r="168" spans="1:8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  <c r="H168">
        <f t="shared" si="2"/>
        <v>9.4199999999999982</v>
      </c>
    </row>
    <row r="169" spans="1:8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  <c r="H169">
        <f t="shared" si="2"/>
        <v>4.99</v>
      </c>
    </row>
    <row r="170" spans="1:8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  <c r="H170">
        <f t="shared" si="2"/>
        <v>10</v>
      </c>
    </row>
    <row r="171" spans="1:8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  <c r="H171">
        <f t="shared" si="2"/>
        <v>10.200000000000003</v>
      </c>
    </row>
    <row r="172" spans="1:8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  <c r="H172">
        <f t="shared" si="2"/>
        <v>6.3500000000000005</v>
      </c>
    </row>
    <row r="173" spans="1:8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  <c r="H173">
        <f t="shared" si="2"/>
        <v>11.4</v>
      </c>
    </row>
    <row r="174" spans="1:8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  <c r="H174">
        <f t="shared" si="2"/>
        <v>8.0399999999999991</v>
      </c>
    </row>
    <row r="175" spans="1:8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  <c r="H175">
        <f t="shared" si="2"/>
        <v>11.659999999999998</v>
      </c>
    </row>
    <row r="176" spans="1:8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  <c r="H176">
        <f t="shared" si="2"/>
        <v>10.28</v>
      </c>
    </row>
    <row r="177" spans="1:8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  <c r="H177">
        <f t="shared" si="2"/>
        <v>5.5200000000000005</v>
      </c>
    </row>
    <row r="178" spans="1:8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  <c r="H178">
        <f t="shared" si="2"/>
        <v>7.1700000000000017</v>
      </c>
    </row>
    <row r="179" spans="1:8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  <c r="H179">
        <f t="shared" si="2"/>
        <v>11.95</v>
      </c>
    </row>
    <row r="180" spans="1:8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  <c r="H180">
        <f t="shared" si="2"/>
        <v>11.53</v>
      </c>
    </row>
    <row r="181" spans="1:8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  <c r="H181">
        <f t="shared" si="2"/>
        <v>11.739999999999998</v>
      </c>
    </row>
    <row r="182" spans="1:8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  <c r="H182">
        <f t="shared" si="2"/>
        <v>6.17</v>
      </c>
    </row>
    <row r="183" spans="1:8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  <c r="H183">
        <f t="shared" si="2"/>
        <v>5.9399999999999995</v>
      </c>
    </row>
    <row r="184" spans="1:8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  <c r="H184">
        <f t="shared" si="2"/>
        <v>10.989999999999998</v>
      </c>
    </row>
    <row r="185" spans="1:8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  <c r="H185">
        <f t="shared" si="2"/>
        <v>10.290000000000001</v>
      </c>
    </row>
    <row r="186" spans="1:8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  <c r="H186">
        <f t="shared" si="2"/>
        <v>10.73</v>
      </c>
    </row>
    <row r="187" spans="1:8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  <c r="H187">
        <f t="shared" si="2"/>
        <v>10.309999999999999</v>
      </c>
    </row>
    <row r="188" spans="1:8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  <c r="H188">
        <f t="shared" si="2"/>
        <v>7.6199999999999974</v>
      </c>
    </row>
    <row r="189" spans="1:8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  <c r="H189">
        <f t="shared" si="2"/>
        <v>10.619999999999997</v>
      </c>
    </row>
    <row r="190" spans="1:8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  <c r="H190">
        <f t="shared" si="2"/>
        <v>9.370000000000001</v>
      </c>
    </row>
    <row r="191" spans="1:8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  <c r="H191">
        <f t="shared" si="2"/>
        <v>11.21</v>
      </c>
    </row>
    <row r="192" spans="1:8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  <c r="H192">
        <f t="shared" si="2"/>
        <v>10.069999999999999</v>
      </c>
    </row>
    <row r="193" spans="1:8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  <c r="H193">
        <f t="shared" si="2"/>
        <v>8.0200000000000014</v>
      </c>
    </row>
    <row r="194" spans="1:8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  <c r="H194">
        <f t="shared" si="2"/>
        <v>9.94</v>
      </c>
    </row>
    <row r="195" spans="1:8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  <c r="H195">
        <f t="shared" ref="H195:H258" si="3">G195+E195-F195</f>
        <v>10.37</v>
      </c>
    </row>
    <row r="196" spans="1:8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  <c r="H196">
        <f t="shared" si="3"/>
        <v>8.1700000000000017</v>
      </c>
    </row>
    <row r="197" spans="1:8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  <c r="H197">
        <f t="shared" si="3"/>
        <v>7.0600000000000023</v>
      </c>
    </row>
    <row r="198" spans="1:8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  <c r="H198">
        <f t="shared" si="3"/>
        <v>8.5399999999999991</v>
      </c>
    </row>
    <row r="199" spans="1:8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  <c r="H199">
        <f t="shared" si="3"/>
        <v>9.9</v>
      </c>
    </row>
    <row r="200" spans="1:8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  <c r="H200">
        <f t="shared" si="3"/>
        <v>11.78</v>
      </c>
    </row>
    <row r="201" spans="1:8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  <c r="H201">
        <f t="shared" si="3"/>
        <v>11.24</v>
      </c>
    </row>
    <row r="202" spans="1:8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  <c r="H202">
        <f t="shared" si="3"/>
        <v>9.1500000000000021</v>
      </c>
    </row>
    <row r="203" spans="1:8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  <c r="H203">
        <f t="shared" si="3"/>
        <v>9.48</v>
      </c>
    </row>
    <row r="204" spans="1:8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  <c r="H204">
        <f t="shared" si="3"/>
        <v>9.4499999999999975</v>
      </c>
    </row>
    <row r="205" spans="1:8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  <c r="H205">
        <f t="shared" si="3"/>
        <v>10.040000000000003</v>
      </c>
    </row>
    <row r="206" spans="1:8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  <c r="H206">
        <f t="shared" si="3"/>
        <v>9.7799999999999994</v>
      </c>
    </row>
    <row r="207" spans="1:8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  <c r="H207">
        <f t="shared" si="3"/>
        <v>8.6500000000000021</v>
      </c>
    </row>
    <row r="208" spans="1:8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  <c r="H208">
        <f t="shared" si="3"/>
        <v>9.3000000000000007</v>
      </c>
    </row>
    <row r="209" spans="1:8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  <c r="H209">
        <f t="shared" si="3"/>
        <v>10.540000000000001</v>
      </c>
    </row>
    <row r="210" spans="1:8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  <c r="H210">
        <f t="shared" si="3"/>
        <v>11.070000000000002</v>
      </c>
    </row>
    <row r="211" spans="1:8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  <c r="H211">
        <f t="shared" si="3"/>
        <v>10.039999999999999</v>
      </c>
    </row>
    <row r="212" spans="1:8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  <c r="H212">
        <f t="shared" si="3"/>
        <v>7.6499999999999986</v>
      </c>
    </row>
    <row r="213" spans="1:8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  <c r="H213">
        <f t="shared" si="3"/>
        <v>7.6799999999999979</v>
      </c>
    </row>
    <row r="214" spans="1:8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  <c r="H214">
        <f t="shared" si="3"/>
        <v>8.2600000000000016</v>
      </c>
    </row>
    <row r="215" spans="1:8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  <c r="H215">
        <f t="shared" si="3"/>
        <v>11.229999999999999</v>
      </c>
    </row>
    <row r="216" spans="1:8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  <c r="H216">
        <f t="shared" si="3"/>
        <v>11.840000000000002</v>
      </c>
    </row>
    <row r="217" spans="1:8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  <c r="H217">
        <f t="shared" si="3"/>
        <v>11.68</v>
      </c>
    </row>
    <row r="218" spans="1:8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  <c r="H218">
        <f t="shared" si="3"/>
        <v>7.5200000000000014</v>
      </c>
    </row>
    <row r="219" spans="1:8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  <c r="H219">
        <f t="shared" si="3"/>
        <v>7.4</v>
      </c>
    </row>
    <row r="220" spans="1:8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  <c r="H220">
        <f t="shared" si="3"/>
        <v>10.91</v>
      </c>
    </row>
    <row r="221" spans="1:8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  <c r="H221">
        <f t="shared" si="3"/>
        <v>11.71</v>
      </c>
    </row>
    <row r="222" spans="1:8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  <c r="H222">
        <f t="shared" si="3"/>
        <v>10.679999999999998</v>
      </c>
    </row>
    <row r="223" spans="1:8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  <c r="H223">
        <f t="shared" si="3"/>
        <v>10.83</v>
      </c>
    </row>
    <row r="224" spans="1:8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  <c r="H224">
        <f t="shared" si="3"/>
        <v>11.320000000000002</v>
      </c>
    </row>
    <row r="225" spans="1:8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  <c r="H225">
        <f t="shared" si="3"/>
        <v>7.9999999999999991</v>
      </c>
    </row>
    <row r="226" spans="1:8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  <c r="H226">
        <f t="shared" si="3"/>
        <v>11.149999999999999</v>
      </c>
    </row>
    <row r="227" spans="1:8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  <c r="H227">
        <f t="shared" si="3"/>
        <v>11.380000000000003</v>
      </c>
    </row>
    <row r="228" spans="1:8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  <c r="H228">
        <f t="shared" si="3"/>
        <v>9.4400000000000013</v>
      </c>
    </row>
    <row r="229" spans="1:8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  <c r="H229">
        <f t="shared" si="3"/>
        <v>10.779999999999998</v>
      </c>
    </row>
    <row r="230" spans="1:8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  <c r="H230">
        <f t="shared" si="3"/>
        <v>11.71</v>
      </c>
    </row>
    <row r="231" spans="1:8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  <c r="H231">
        <f t="shared" si="3"/>
        <v>11.089999999999998</v>
      </c>
    </row>
    <row r="232" spans="1:8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  <c r="H232">
        <f t="shared" si="3"/>
        <v>7.99</v>
      </c>
    </row>
    <row r="233" spans="1:8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  <c r="H233">
        <f t="shared" si="3"/>
        <v>11.37</v>
      </c>
    </row>
    <row r="234" spans="1:8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  <c r="H234">
        <f t="shared" si="3"/>
        <v>7.25</v>
      </c>
    </row>
    <row r="235" spans="1:8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  <c r="H235">
        <f t="shared" si="3"/>
        <v>7.3599999999999977</v>
      </c>
    </row>
    <row r="236" spans="1:8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  <c r="H236">
        <f t="shared" si="3"/>
        <v>7.3500000000000005</v>
      </c>
    </row>
    <row r="237" spans="1:8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  <c r="H237">
        <f t="shared" si="3"/>
        <v>11.319999999999997</v>
      </c>
    </row>
    <row r="238" spans="1:8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  <c r="H238">
        <f t="shared" si="3"/>
        <v>10.5</v>
      </c>
    </row>
    <row r="239" spans="1:8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  <c r="H239">
        <f t="shared" si="3"/>
        <v>11.069999999999999</v>
      </c>
    </row>
    <row r="240" spans="1:8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  <c r="H240">
        <f t="shared" si="3"/>
        <v>9.1</v>
      </c>
    </row>
    <row r="241" spans="1:8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  <c r="H241">
        <f t="shared" si="3"/>
        <v>10.290000000000001</v>
      </c>
    </row>
    <row r="242" spans="1:8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  <c r="H242">
        <f t="shared" si="3"/>
        <v>10.52</v>
      </c>
    </row>
    <row r="243" spans="1:8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  <c r="H243">
        <f t="shared" si="3"/>
        <v>9.6399999999999988</v>
      </c>
    </row>
    <row r="244" spans="1:8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  <c r="H244">
        <f t="shared" si="3"/>
        <v>9.01</v>
      </c>
    </row>
    <row r="245" spans="1:8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  <c r="H245">
        <f t="shared" si="3"/>
        <v>9.5399999999999991</v>
      </c>
    </row>
    <row r="246" spans="1:8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  <c r="H246">
        <f t="shared" si="3"/>
        <v>9.69</v>
      </c>
    </row>
    <row r="247" spans="1:8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  <c r="H247">
        <f t="shared" si="3"/>
        <v>10.300000000000002</v>
      </c>
    </row>
    <row r="248" spans="1:8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  <c r="H248">
        <f t="shared" si="3"/>
        <v>9.3999999999999986</v>
      </c>
    </row>
    <row r="249" spans="1:8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  <c r="H249">
        <f t="shared" si="3"/>
        <v>8.3900000000000023</v>
      </c>
    </row>
    <row r="250" spans="1:8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  <c r="H250">
        <f t="shared" si="3"/>
        <v>5.1499999999999995</v>
      </c>
    </row>
    <row r="251" spans="1:8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  <c r="H251">
        <f t="shared" si="3"/>
        <v>9.9099999999999984</v>
      </c>
    </row>
    <row r="252" spans="1:8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  <c r="H252">
        <f t="shared" si="3"/>
        <v>11.069999999999999</v>
      </c>
    </row>
    <row r="253" spans="1:8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  <c r="H253">
        <f t="shared" si="3"/>
        <v>7.9300000000000006</v>
      </c>
    </row>
    <row r="254" spans="1:8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  <c r="H254">
        <f t="shared" si="3"/>
        <v>9.8800000000000008</v>
      </c>
    </row>
    <row r="255" spans="1:8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  <c r="H255">
        <f t="shared" si="3"/>
        <v>7.0599999999999987</v>
      </c>
    </row>
    <row r="256" spans="1:8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  <c r="H256">
        <f t="shared" si="3"/>
        <v>7.8600000000000012</v>
      </c>
    </row>
    <row r="257" spans="1:8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  <c r="H257">
        <f t="shared" si="3"/>
        <v>7.8000000000000007</v>
      </c>
    </row>
    <row r="258" spans="1:8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  <c r="H258">
        <f t="shared" si="3"/>
        <v>11.78</v>
      </c>
    </row>
    <row r="259" spans="1:8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  <c r="H259">
        <f t="shared" ref="H259:H322" si="4">G259+E259-F259</f>
        <v>11.679999999999998</v>
      </c>
    </row>
    <row r="260" spans="1:8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  <c r="H260">
        <f t="shared" si="4"/>
        <v>7.88</v>
      </c>
    </row>
    <row r="261" spans="1:8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  <c r="H261">
        <f t="shared" si="4"/>
        <v>7.7000000000000011</v>
      </c>
    </row>
    <row r="262" spans="1:8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  <c r="H262">
        <f t="shared" si="4"/>
        <v>7.2900000000000009</v>
      </c>
    </row>
    <row r="263" spans="1:8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  <c r="H263">
        <f t="shared" si="4"/>
        <v>5.08</v>
      </c>
    </row>
    <row r="264" spans="1:8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  <c r="H264">
        <f t="shared" si="4"/>
        <v>11.819999999999999</v>
      </c>
    </row>
    <row r="265" spans="1:8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  <c r="H265">
        <f t="shared" si="4"/>
        <v>10.79</v>
      </c>
    </row>
    <row r="266" spans="1:8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  <c r="H266">
        <f t="shared" si="4"/>
        <v>9.5100000000000016</v>
      </c>
    </row>
    <row r="267" spans="1:8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  <c r="H267">
        <f t="shared" si="4"/>
        <v>11.059999999999999</v>
      </c>
    </row>
    <row r="268" spans="1:8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  <c r="H268">
        <f t="shared" si="4"/>
        <v>11.899999999999999</v>
      </c>
    </row>
    <row r="269" spans="1:8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  <c r="H269">
        <f t="shared" si="4"/>
        <v>10.93</v>
      </c>
    </row>
    <row r="270" spans="1:8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  <c r="H270">
        <f t="shared" si="4"/>
        <v>7.0399999999999991</v>
      </c>
    </row>
    <row r="271" spans="1:8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  <c r="H271">
        <f t="shared" si="4"/>
        <v>7.7899999999999991</v>
      </c>
    </row>
    <row r="272" spans="1:8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  <c r="H272">
        <f t="shared" si="4"/>
        <v>8.25</v>
      </c>
    </row>
    <row r="273" spans="1:8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  <c r="H273">
        <f t="shared" si="4"/>
        <v>5.6599999999999993</v>
      </c>
    </row>
    <row r="274" spans="1:8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  <c r="H274">
        <f t="shared" si="4"/>
        <v>9.68</v>
      </c>
    </row>
    <row r="275" spans="1:8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  <c r="H275">
        <f t="shared" si="4"/>
        <v>5.08</v>
      </c>
    </row>
    <row r="276" spans="1:8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  <c r="H276">
        <f t="shared" si="4"/>
        <v>6.3100000000000014</v>
      </c>
    </row>
    <row r="277" spans="1:8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  <c r="H277">
        <f t="shared" si="4"/>
        <v>4.66</v>
      </c>
    </row>
    <row r="278" spans="1:8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  <c r="H278">
        <f t="shared" si="4"/>
        <v>4.32</v>
      </c>
    </row>
    <row r="279" spans="1:8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  <c r="H279">
        <f t="shared" si="4"/>
        <v>4.5300000000000011</v>
      </c>
    </row>
    <row r="280" spans="1:8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  <c r="H280">
        <f t="shared" si="4"/>
        <v>3.88</v>
      </c>
    </row>
    <row r="281" spans="1:8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  <c r="H281">
        <f t="shared" si="4"/>
        <v>6.13</v>
      </c>
    </row>
    <row r="282" spans="1:8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  <c r="H282">
        <f t="shared" si="4"/>
        <v>6.1099999999999994</v>
      </c>
    </row>
    <row r="283" spans="1:8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  <c r="H283">
        <f t="shared" si="4"/>
        <v>7.4300000000000006</v>
      </c>
    </row>
    <row r="284" spans="1:8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  <c r="H284">
        <f t="shared" si="4"/>
        <v>5.0400000000000009</v>
      </c>
    </row>
    <row r="285" spans="1:8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  <c r="H285">
        <f t="shared" si="4"/>
        <v>4.9099999999999993</v>
      </c>
    </row>
    <row r="286" spans="1:8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  <c r="H286">
        <f t="shared" si="4"/>
        <v>4.2399999999999993</v>
      </c>
    </row>
    <row r="287" spans="1:8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  <c r="H287">
        <f t="shared" si="4"/>
        <v>4.54</v>
      </c>
    </row>
    <row r="288" spans="1:8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  <c r="H288">
        <f t="shared" si="4"/>
        <v>7.37</v>
      </c>
    </row>
    <row r="289" spans="1:8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  <c r="H289">
        <f t="shared" si="4"/>
        <v>7.3100000000000005</v>
      </c>
    </row>
    <row r="290" spans="1:8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  <c r="H290">
        <f t="shared" si="4"/>
        <v>11.76</v>
      </c>
    </row>
    <row r="291" spans="1:8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  <c r="H291">
        <f t="shared" si="4"/>
        <v>7.3400000000000007</v>
      </c>
    </row>
    <row r="292" spans="1:8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  <c r="H292">
        <f t="shared" si="4"/>
        <v>4.4400000000000004</v>
      </c>
    </row>
    <row r="293" spans="1:8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  <c r="H293">
        <f t="shared" si="4"/>
        <v>6.64</v>
      </c>
    </row>
    <row r="294" spans="1:8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  <c r="H294">
        <f t="shared" si="4"/>
        <v>7.3700000000000019</v>
      </c>
    </row>
    <row r="295" spans="1:8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  <c r="H295">
        <f t="shared" si="4"/>
        <v>4.83</v>
      </c>
    </row>
    <row r="296" spans="1:8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  <c r="H296">
        <f t="shared" si="4"/>
        <v>9.18</v>
      </c>
    </row>
    <row r="297" spans="1:8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  <c r="H297">
        <f t="shared" si="4"/>
        <v>7.1700000000000008</v>
      </c>
    </row>
    <row r="298" spans="1:8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  <c r="H298">
        <f t="shared" si="4"/>
        <v>9.69</v>
      </c>
    </row>
    <row r="299" spans="1:8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  <c r="H299">
        <f t="shared" si="4"/>
        <v>6.620000000000001</v>
      </c>
    </row>
    <row r="300" spans="1:8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  <c r="H300">
        <f t="shared" si="4"/>
        <v>4.84</v>
      </c>
    </row>
    <row r="301" spans="1:8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  <c r="H301">
        <f t="shared" si="4"/>
        <v>8.27</v>
      </c>
    </row>
    <row r="302" spans="1:8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  <c r="H302">
        <f t="shared" si="4"/>
        <v>7.16</v>
      </c>
    </row>
    <row r="303" spans="1:8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  <c r="H303">
        <f t="shared" si="4"/>
        <v>4.0200000000000005</v>
      </c>
    </row>
    <row r="304" spans="1:8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  <c r="H304">
        <f t="shared" si="4"/>
        <v>5.3999999999999986</v>
      </c>
    </row>
    <row r="305" spans="1:8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  <c r="H305">
        <f t="shared" si="4"/>
        <v>4.67</v>
      </c>
    </row>
    <row r="306" spans="1:8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  <c r="H306">
        <f t="shared" si="4"/>
        <v>5.74</v>
      </c>
    </row>
    <row r="307" spans="1:8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  <c r="H307">
        <f t="shared" si="4"/>
        <v>4.4699999999999989</v>
      </c>
    </row>
    <row r="308" spans="1:8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  <c r="H308">
        <f t="shared" si="4"/>
        <v>7.1800000000000015</v>
      </c>
    </row>
    <row r="309" spans="1:8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  <c r="H309">
        <f t="shared" si="4"/>
        <v>5.27</v>
      </c>
    </row>
    <row r="310" spans="1:8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  <c r="H310">
        <f t="shared" si="4"/>
        <v>6.8600000000000012</v>
      </c>
    </row>
    <row r="311" spans="1:8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  <c r="H311">
        <f t="shared" si="4"/>
        <v>7.5600000000000005</v>
      </c>
    </row>
    <row r="312" spans="1:8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  <c r="H312">
        <f t="shared" si="4"/>
        <v>4.3400000000000007</v>
      </c>
    </row>
    <row r="313" spans="1:8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  <c r="H313">
        <f t="shared" si="4"/>
        <v>6.01</v>
      </c>
    </row>
    <row r="314" spans="1:8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  <c r="H314">
        <f t="shared" si="4"/>
        <v>4.4499999999999993</v>
      </c>
    </row>
    <row r="315" spans="1:8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  <c r="H315">
        <f t="shared" si="4"/>
        <v>9.5299999999999976</v>
      </c>
    </row>
    <row r="316" spans="1:8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  <c r="H316">
        <f t="shared" si="4"/>
        <v>6.5</v>
      </c>
    </row>
    <row r="317" spans="1:8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  <c r="H317">
        <f t="shared" si="4"/>
        <v>6.35</v>
      </c>
    </row>
    <row r="318" spans="1:8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  <c r="H318">
        <f t="shared" si="4"/>
        <v>5.3300000000000018</v>
      </c>
    </row>
    <row r="319" spans="1:8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  <c r="H319">
        <f t="shared" si="4"/>
        <v>7.1900000000000013</v>
      </c>
    </row>
    <row r="320" spans="1:8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  <c r="H320">
        <f t="shared" si="4"/>
        <v>7.46</v>
      </c>
    </row>
    <row r="321" spans="1:8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  <c r="H321">
        <f t="shared" si="4"/>
        <v>5.25</v>
      </c>
    </row>
    <row r="322" spans="1:8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  <c r="H322">
        <f t="shared" si="4"/>
        <v>5.5100000000000007</v>
      </c>
    </row>
    <row r="323" spans="1:8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  <c r="H323">
        <f t="shared" ref="H323:H366" si="5">G323+E323-F323</f>
        <v>5.1099999999999994</v>
      </c>
    </row>
    <row r="324" spans="1:8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  <c r="H324">
        <f t="shared" si="5"/>
        <v>4.26</v>
      </c>
    </row>
    <row r="325" spans="1:8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  <c r="H325">
        <f t="shared" si="5"/>
        <v>5.01</v>
      </c>
    </row>
    <row r="326" spans="1:8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  <c r="H326">
        <f t="shared" si="5"/>
        <v>5.1300000000000008</v>
      </c>
    </row>
    <row r="327" spans="1:8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  <c r="H327">
        <f t="shared" si="5"/>
        <v>5.3000000000000007</v>
      </c>
    </row>
    <row r="328" spans="1:8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  <c r="H328">
        <f t="shared" si="5"/>
        <v>6.92</v>
      </c>
    </row>
    <row r="329" spans="1:8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  <c r="H329">
        <f t="shared" si="5"/>
        <v>5.97</v>
      </c>
    </row>
    <row r="330" spans="1:8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  <c r="H330">
        <f t="shared" si="5"/>
        <v>6.3</v>
      </c>
    </row>
    <row r="331" spans="1:8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  <c r="H331">
        <f t="shared" si="5"/>
        <v>8.77</v>
      </c>
    </row>
    <row r="332" spans="1:8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  <c r="H332">
        <f t="shared" si="5"/>
        <v>6.03</v>
      </c>
    </row>
    <row r="333" spans="1:8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  <c r="H333">
        <f t="shared" si="5"/>
        <v>6.15</v>
      </c>
    </row>
    <row r="334" spans="1:8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  <c r="H334">
        <f t="shared" si="5"/>
        <v>5.0199999999999996</v>
      </c>
    </row>
    <row r="335" spans="1:8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  <c r="H335">
        <f t="shared" si="5"/>
        <v>8.16</v>
      </c>
    </row>
    <row r="336" spans="1:8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  <c r="H336">
        <f t="shared" si="5"/>
        <v>7.52</v>
      </c>
    </row>
    <row r="337" spans="1:8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  <c r="H337">
        <f t="shared" si="5"/>
        <v>6.6400000000000006</v>
      </c>
    </row>
    <row r="338" spans="1:8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  <c r="H338">
        <f t="shared" si="5"/>
        <v>5.9</v>
      </c>
    </row>
    <row r="339" spans="1:8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  <c r="H339">
        <f t="shared" si="5"/>
        <v>5.94</v>
      </c>
    </row>
    <row r="340" spans="1:8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  <c r="H340">
        <f t="shared" si="5"/>
        <v>7.0299999999999994</v>
      </c>
    </row>
    <row r="341" spans="1:8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  <c r="H341">
        <f t="shared" si="5"/>
        <v>6.51</v>
      </c>
    </row>
    <row r="342" spans="1:8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  <c r="H342">
        <f t="shared" si="5"/>
        <v>7.5500000000000007</v>
      </c>
    </row>
    <row r="343" spans="1:8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  <c r="H343">
        <f t="shared" si="5"/>
        <v>5.85</v>
      </c>
    </row>
    <row r="344" spans="1:8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  <c r="H344">
        <f t="shared" si="5"/>
        <v>5.78</v>
      </c>
    </row>
    <row r="345" spans="1:8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  <c r="H345">
        <f t="shared" si="5"/>
        <v>6.7899999999999991</v>
      </c>
    </row>
    <row r="346" spans="1:8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  <c r="H346">
        <f t="shared" si="5"/>
        <v>6.65</v>
      </c>
    </row>
    <row r="347" spans="1:8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  <c r="H347">
        <f t="shared" si="5"/>
        <v>7.56</v>
      </c>
    </row>
    <row r="348" spans="1:8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  <c r="H348">
        <f t="shared" si="5"/>
        <v>7.1300000000000008</v>
      </c>
    </row>
    <row r="349" spans="1:8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  <c r="H349">
        <f t="shared" si="5"/>
        <v>7.37</v>
      </c>
    </row>
    <row r="350" spans="1:8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  <c r="H350">
        <f t="shared" si="5"/>
        <v>8.4799999999999986</v>
      </c>
    </row>
    <row r="351" spans="1:8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  <c r="H351">
        <f t="shared" si="5"/>
        <v>6.4600000000000009</v>
      </c>
    </row>
    <row r="352" spans="1:8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  <c r="H352">
        <f t="shared" si="5"/>
        <v>7.29</v>
      </c>
    </row>
    <row r="353" spans="1:8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  <c r="H353">
        <f t="shared" si="5"/>
        <v>7.1700000000000008</v>
      </c>
    </row>
    <row r="354" spans="1:8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  <c r="H354">
        <f t="shared" si="5"/>
        <v>6.97</v>
      </c>
    </row>
    <row r="355" spans="1:8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  <c r="H355">
        <f t="shared" si="5"/>
        <v>5.8599999999999994</v>
      </c>
    </row>
    <row r="356" spans="1:8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  <c r="H356">
        <f t="shared" si="5"/>
        <v>7.8400000000000007</v>
      </c>
    </row>
    <row r="357" spans="1:8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  <c r="H357">
        <f t="shared" si="5"/>
        <v>5.99</v>
      </c>
    </row>
    <row r="358" spans="1:8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  <c r="H358">
        <f t="shared" si="5"/>
        <v>6.44</v>
      </c>
    </row>
    <row r="359" spans="1:8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  <c r="H359">
        <f t="shared" si="5"/>
        <v>7.07</v>
      </c>
    </row>
    <row r="360" spans="1:8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  <c r="H360">
        <f t="shared" si="5"/>
        <v>6.01</v>
      </c>
    </row>
    <row r="361" spans="1:8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  <c r="H361">
        <f t="shared" si="5"/>
        <v>6.22</v>
      </c>
    </row>
    <row r="362" spans="1:8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  <c r="H362">
        <f t="shared" si="5"/>
        <v>5.8300000000000018</v>
      </c>
    </row>
    <row r="363" spans="1:8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  <c r="H363">
        <f t="shared" si="5"/>
        <v>5.37</v>
      </c>
    </row>
    <row r="364" spans="1:8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  <c r="H364">
        <f t="shared" si="5"/>
        <v>6.3599999999999994</v>
      </c>
    </row>
    <row r="365" spans="1:8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  <c r="H365">
        <f t="shared" si="5"/>
        <v>7.6</v>
      </c>
    </row>
    <row r="366" spans="1:8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  <c r="H366">
        <f t="shared" si="5"/>
        <v>6.9799999999999995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412B-D31A-49D1-BC66-795A30FB3728}">
  <dimension ref="A1:I366"/>
  <sheetViews>
    <sheetView topLeftCell="A136" workbookViewId="0">
      <selection activeCell="H8" sqref="H8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6" t="s">
        <v>8</v>
      </c>
    </row>
    <row r="2" spans="1:9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  <c r="H2" s="17">
        <v>1</v>
      </c>
    </row>
    <row r="3" spans="1:9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  <c r="H3">
        <f>IF(AND(D3&lt;=D2,E3&gt;=E2),H2+1,0)</f>
        <v>0</v>
      </c>
    </row>
    <row r="4" spans="1:9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  <c r="H4">
        <f t="shared" ref="H4:H67" si="0">IF(AND(D4&lt;=D3,E4&gt;=E3),H3+1,0)</f>
        <v>1</v>
      </c>
      <c r="I4">
        <f>MAX(H2:H366)</f>
        <v>6</v>
      </c>
    </row>
    <row r="5" spans="1:9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  <c r="H5">
        <f t="shared" si="0"/>
        <v>0</v>
      </c>
    </row>
    <row r="6" spans="1:9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  <c r="H6">
        <f t="shared" si="0"/>
        <v>1</v>
      </c>
    </row>
    <row r="7" spans="1:9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  <c r="H7">
        <f t="shared" si="0"/>
        <v>0</v>
      </c>
    </row>
    <row r="8" spans="1:9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  <c r="H8">
        <f t="shared" si="0"/>
        <v>1</v>
      </c>
    </row>
    <row r="9" spans="1:9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  <c r="H9">
        <f t="shared" si="0"/>
        <v>0</v>
      </c>
    </row>
    <row r="10" spans="1:9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  <c r="H10">
        <f t="shared" si="0"/>
        <v>1</v>
      </c>
    </row>
    <row r="11" spans="1:9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  <c r="H11">
        <f t="shared" si="0"/>
        <v>0</v>
      </c>
    </row>
    <row r="12" spans="1:9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  <c r="H12">
        <f t="shared" si="0"/>
        <v>0</v>
      </c>
    </row>
    <row r="13" spans="1:9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  <c r="H13">
        <f t="shared" si="0"/>
        <v>0</v>
      </c>
    </row>
    <row r="14" spans="1:9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  <c r="H14">
        <f t="shared" si="0"/>
        <v>1</v>
      </c>
    </row>
    <row r="15" spans="1:9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  <c r="H15">
        <f t="shared" si="0"/>
        <v>0</v>
      </c>
    </row>
    <row r="16" spans="1:9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  <c r="H16">
        <f t="shared" si="0"/>
        <v>0</v>
      </c>
    </row>
    <row r="17" spans="1:8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  <c r="H17">
        <f t="shared" si="0"/>
        <v>1</v>
      </c>
    </row>
    <row r="18" spans="1:8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  <c r="H18">
        <f t="shared" si="0"/>
        <v>2</v>
      </c>
    </row>
    <row r="19" spans="1:8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  <c r="H19">
        <f t="shared" si="0"/>
        <v>0</v>
      </c>
    </row>
    <row r="20" spans="1:8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  <c r="H20">
        <f t="shared" si="0"/>
        <v>1</v>
      </c>
    </row>
    <row r="21" spans="1:8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  <c r="H21">
        <f t="shared" si="0"/>
        <v>2</v>
      </c>
    </row>
    <row r="22" spans="1:8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  <c r="H22">
        <f t="shared" si="0"/>
        <v>0</v>
      </c>
    </row>
    <row r="23" spans="1:8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  <c r="H23">
        <f t="shared" si="0"/>
        <v>1</v>
      </c>
    </row>
    <row r="24" spans="1:8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  <c r="H24">
        <f t="shared" si="0"/>
        <v>2</v>
      </c>
    </row>
    <row r="25" spans="1:8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  <c r="H25">
        <f t="shared" si="0"/>
        <v>3</v>
      </c>
    </row>
    <row r="26" spans="1:8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  <c r="H26">
        <f t="shared" si="0"/>
        <v>4</v>
      </c>
    </row>
    <row r="27" spans="1:8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  <c r="H27">
        <f t="shared" si="0"/>
        <v>0</v>
      </c>
    </row>
    <row r="28" spans="1:8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  <c r="H28">
        <f t="shared" si="0"/>
        <v>0</v>
      </c>
    </row>
    <row r="29" spans="1:8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  <c r="H29">
        <f t="shared" si="0"/>
        <v>1</v>
      </c>
    </row>
    <row r="30" spans="1:8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  <c r="H30">
        <f t="shared" si="0"/>
        <v>2</v>
      </c>
    </row>
    <row r="31" spans="1:8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  <c r="H31">
        <f t="shared" si="0"/>
        <v>0</v>
      </c>
    </row>
    <row r="32" spans="1:8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  <c r="H32">
        <f t="shared" si="0"/>
        <v>1</v>
      </c>
    </row>
    <row r="33" spans="1:8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  <c r="H33">
        <f t="shared" si="0"/>
        <v>2</v>
      </c>
    </row>
    <row r="34" spans="1:8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  <c r="H34">
        <f t="shared" si="0"/>
        <v>3</v>
      </c>
    </row>
    <row r="35" spans="1:8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  <c r="H35">
        <f t="shared" si="0"/>
        <v>0</v>
      </c>
    </row>
    <row r="36" spans="1:8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  <c r="H36">
        <f t="shared" si="0"/>
        <v>1</v>
      </c>
    </row>
    <row r="37" spans="1:8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  <c r="H37">
        <f t="shared" si="0"/>
        <v>0</v>
      </c>
    </row>
    <row r="38" spans="1:8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  <c r="H38">
        <f t="shared" si="0"/>
        <v>1</v>
      </c>
    </row>
    <row r="39" spans="1:8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  <c r="H39">
        <f t="shared" si="0"/>
        <v>2</v>
      </c>
    </row>
    <row r="40" spans="1:8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  <c r="H40">
        <f t="shared" si="0"/>
        <v>3</v>
      </c>
    </row>
    <row r="41" spans="1:8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  <c r="H41">
        <f t="shared" si="0"/>
        <v>0</v>
      </c>
    </row>
    <row r="42" spans="1:8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  <c r="H42">
        <f t="shared" si="0"/>
        <v>0</v>
      </c>
    </row>
    <row r="43" spans="1:8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  <c r="H43">
        <f t="shared" si="0"/>
        <v>0</v>
      </c>
    </row>
    <row r="44" spans="1:8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  <c r="H44">
        <f t="shared" si="0"/>
        <v>1</v>
      </c>
    </row>
    <row r="45" spans="1:8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  <c r="H45">
        <f t="shared" si="0"/>
        <v>0</v>
      </c>
    </row>
    <row r="46" spans="1:8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  <c r="H46">
        <f t="shared" si="0"/>
        <v>1</v>
      </c>
    </row>
    <row r="47" spans="1:8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  <c r="H47">
        <f t="shared" si="0"/>
        <v>0</v>
      </c>
    </row>
    <row r="48" spans="1:8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  <c r="H48">
        <f t="shared" si="0"/>
        <v>0</v>
      </c>
    </row>
    <row r="49" spans="1:8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  <c r="H49">
        <f t="shared" si="0"/>
        <v>1</v>
      </c>
    </row>
    <row r="50" spans="1:8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  <c r="H50">
        <f t="shared" si="0"/>
        <v>0</v>
      </c>
    </row>
    <row r="51" spans="1:8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  <c r="H51">
        <f t="shared" si="0"/>
        <v>0</v>
      </c>
    </row>
    <row r="52" spans="1:8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  <c r="H52">
        <f t="shared" si="0"/>
        <v>1</v>
      </c>
    </row>
    <row r="53" spans="1:8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  <c r="H53">
        <f t="shared" si="0"/>
        <v>2</v>
      </c>
    </row>
    <row r="54" spans="1:8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  <c r="H54">
        <f t="shared" si="0"/>
        <v>0</v>
      </c>
    </row>
    <row r="55" spans="1:8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  <c r="H55">
        <f t="shared" si="0"/>
        <v>0</v>
      </c>
    </row>
    <row r="56" spans="1:8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  <c r="H56">
        <f t="shared" si="0"/>
        <v>1</v>
      </c>
    </row>
    <row r="57" spans="1:8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  <c r="H57">
        <f t="shared" si="0"/>
        <v>0</v>
      </c>
    </row>
    <row r="58" spans="1:8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  <c r="H58">
        <f t="shared" si="0"/>
        <v>0</v>
      </c>
    </row>
    <row r="59" spans="1:8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  <c r="H59">
        <f t="shared" si="0"/>
        <v>1</v>
      </c>
    </row>
    <row r="60" spans="1:8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  <c r="H60">
        <f t="shared" si="0"/>
        <v>0</v>
      </c>
    </row>
    <row r="61" spans="1:8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  <c r="H61">
        <f t="shared" si="0"/>
        <v>1</v>
      </c>
    </row>
    <row r="62" spans="1:8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  <c r="H62">
        <f t="shared" si="0"/>
        <v>0</v>
      </c>
    </row>
    <row r="63" spans="1:8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  <c r="H63">
        <f t="shared" si="0"/>
        <v>0</v>
      </c>
    </row>
    <row r="64" spans="1:8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  <c r="H64">
        <f t="shared" si="0"/>
        <v>1</v>
      </c>
    </row>
    <row r="65" spans="1:8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  <c r="H65">
        <f t="shared" si="0"/>
        <v>2</v>
      </c>
    </row>
    <row r="66" spans="1:8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  <c r="H66">
        <f t="shared" si="0"/>
        <v>0</v>
      </c>
    </row>
    <row r="67" spans="1:8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  <c r="H67">
        <f t="shared" si="0"/>
        <v>0</v>
      </c>
    </row>
    <row r="68" spans="1:8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  <c r="H68">
        <f t="shared" ref="H68:H131" si="1">IF(AND(D68&lt;=D67,E68&gt;=E67),H67+1,0)</f>
        <v>1</v>
      </c>
    </row>
    <row r="69" spans="1:8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  <c r="H69">
        <f t="shared" si="1"/>
        <v>0</v>
      </c>
    </row>
    <row r="70" spans="1:8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  <c r="H70">
        <f t="shared" si="1"/>
        <v>1</v>
      </c>
    </row>
    <row r="71" spans="1:8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  <c r="H71">
        <f t="shared" si="1"/>
        <v>0</v>
      </c>
    </row>
    <row r="72" spans="1:8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  <c r="H72">
        <f t="shared" si="1"/>
        <v>1</v>
      </c>
    </row>
    <row r="73" spans="1:8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  <c r="H73">
        <f t="shared" si="1"/>
        <v>2</v>
      </c>
    </row>
    <row r="74" spans="1:8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  <c r="H74">
        <f t="shared" si="1"/>
        <v>0</v>
      </c>
    </row>
    <row r="75" spans="1:8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  <c r="H75">
        <f t="shared" si="1"/>
        <v>0</v>
      </c>
    </row>
    <row r="76" spans="1:8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  <c r="H76">
        <f t="shared" si="1"/>
        <v>1</v>
      </c>
    </row>
    <row r="77" spans="1:8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  <c r="H77">
        <f t="shared" si="1"/>
        <v>0</v>
      </c>
    </row>
    <row r="78" spans="1:8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  <c r="H78">
        <f t="shared" si="1"/>
        <v>1</v>
      </c>
    </row>
    <row r="79" spans="1:8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  <c r="H79">
        <f t="shared" si="1"/>
        <v>2</v>
      </c>
    </row>
    <row r="80" spans="1:8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  <c r="H80">
        <f t="shared" si="1"/>
        <v>0</v>
      </c>
    </row>
    <row r="81" spans="1:8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  <c r="H81">
        <f t="shared" si="1"/>
        <v>0</v>
      </c>
    </row>
    <row r="82" spans="1:8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  <c r="H82">
        <f t="shared" si="1"/>
        <v>0</v>
      </c>
    </row>
    <row r="83" spans="1:8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  <c r="H83">
        <f t="shared" si="1"/>
        <v>1</v>
      </c>
    </row>
    <row r="84" spans="1:8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  <c r="H84">
        <f t="shared" si="1"/>
        <v>2</v>
      </c>
    </row>
    <row r="85" spans="1:8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  <c r="H85">
        <f t="shared" si="1"/>
        <v>0</v>
      </c>
    </row>
    <row r="86" spans="1:8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  <c r="H86">
        <f t="shared" si="1"/>
        <v>1</v>
      </c>
    </row>
    <row r="87" spans="1:8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  <c r="H87">
        <f t="shared" si="1"/>
        <v>0</v>
      </c>
    </row>
    <row r="88" spans="1:8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  <c r="H88">
        <f t="shared" si="1"/>
        <v>0</v>
      </c>
    </row>
    <row r="89" spans="1:8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  <c r="H89">
        <f t="shared" si="1"/>
        <v>0</v>
      </c>
    </row>
    <row r="90" spans="1:8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  <c r="H90">
        <f t="shared" si="1"/>
        <v>1</v>
      </c>
    </row>
    <row r="91" spans="1:8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  <c r="H91">
        <f t="shared" si="1"/>
        <v>0</v>
      </c>
    </row>
    <row r="92" spans="1:8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  <c r="H92">
        <f t="shared" si="1"/>
        <v>0</v>
      </c>
    </row>
    <row r="93" spans="1:8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  <c r="H93">
        <f t="shared" si="1"/>
        <v>1</v>
      </c>
    </row>
    <row r="94" spans="1:8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  <c r="H94">
        <f t="shared" si="1"/>
        <v>0</v>
      </c>
    </row>
    <row r="95" spans="1:8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  <c r="H95">
        <f t="shared" si="1"/>
        <v>1</v>
      </c>
    </row>
    <row r="96" spans="1:8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  <c r="H96">
        <f t="shared" si="1"/>
        <v>0</v>
      </c>
    </row>
    <row r="97" spans="1:8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  <c r="H97">
        <f t="shared" si="1"/>
        <v>0</v>
      </c>
    </row>
    <row r="98" spans="1:8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  <c r="H98">
        <f t="shared" si="1"/>
        <v>1</v>
      </c>
    </row>
    <row r="99" spans="1:8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  <c r="H99">
        <f t="shared" si="1"/>
        <v>2</v>
      </c>
    </row>
    <row r="100" spans="1:8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  <c r="H100">
        <f t="shared" si="1"/>
        <v>0</v>
      </c>
    </row>
    <row r="101" spans="1:8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  <c r="H101">
        <f t="shared" si="1"/>
        <v>0</v>
      </c>
    </row>
    <row r="102" spans="1:8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  <c r="H102">
        <f t="shared" si="1"/>
        <v>0</v>
      </c>
    </row>
    <row r="103" spans="1:8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  <c r="H103">
        <f t="shared" si="1"/>
        <v>1</v>
      </c>
    </row>
    <row r="104" spans="1:8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  <c r="H104">
        <f t="shared" si="1"/>
        <v>0</v>
      </c>
    </row>
    <row r="105" spans="1:8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  <c r="H105">
        <f t="shared" si="1"/>
        <v>1</v>
      </c>
    </row>
    <row r="106" spans="1:8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  <c r="H106">
        <f t="shared" si="1"/>
        <v>0</v>
      </c>
    </row>
    <row r="107" spans="1:8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  <c r="H107">
        <f t="shared" si="1"/>
        <v>0</v>
      </c>
    </row>
    <row r="108" spans="1:8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  <c r="H108">
        <f t="shared" si="1"/>
        <v>0</v>
      </c>
    </row>
    <row r="109" spans="1:8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  <c r="H109">
        <f t="shared" si="1"/>
        <v>1</v>
      </c>
    </row>
    <row r="110" spans="1:8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  <c r="H110">
        <f t="shared" si="1"/>
        <v>2</v>
      </c>
    </row>
    <row r="111" spans="1:8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  <c r="H111">
        <f t="shared" si="1"/>
        <v>3</v>
      </c>
    </row>
    <row r="112" spans="1:8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  <c r="H112">
        <f t="shared" si="1"/>
        <v>4</v>
      </c>
    </row>
    <row r="113" spans="1:8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  <c r="H113">
        <f t="shared" si="1"/>
        <v>0</v>
      </c>
    </row>
    <row r="114" spans="1:8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  <c r="H114">
        <f t="shared" si="1"/>
        <v>1</v>
      </c>
    </row>
    <row r="115" spans="1:8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  <c r="H115">
        <f t="shared" si="1"/>
        <v>2</v>
      </c>
    </row>
    <row r="116" spans="1:8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  <c r="H116">
        <f t="shared" si="1"/>
        <v>0</v>
      </c>
    </row>
    <row r="117" spans="1:8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  <c r="H117">
        <f t="shared" si="1"/>
        <v>1</v>
      </c>
    </row>
    <row r="118" spans="1:8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  <c r="H118">
        <f t="shared" si="1"/>
        <v>2</v>
      </c>
    </row>
    <row r="119" spans="1:8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  <c r="H119">
        <f t="shared" si="1"/>
        <v>0</v>
      </c>
    </row>
    <row r="120" spans="1:8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  <c r="H120">
        <f t="shared" si="1"/>
        <v>1</v>
      </c>
    </row>
    <row r="121" spans="1:8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  <c r="H121">
        <f t="shared" si="1"/>
        <v>0</v>
      </c>
    </row>
    <row r="122" spans="1:8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  <c r="H122">
        <f t="shared" si="1"/>
        <v>0</v>
      </c>
    </row>
    <row r="123" spans="1:8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  <c r="H123">
        <f t="shared" si="1"/>
        <v>1</v>
      </c>
    </row>
    <row r="124" spans="1:8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  <c r="H124">
        <f t="shared" si="1"/>
        <v>0</v>
      </c>
    </row>
    <row r="125" spans="1:8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  <c r="H125">
        <f t="shared" si="1"/>
        <v>1</v>
      </c>
    </row>
    <row r="126" spans="1:8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  <c r="H126">
        <f t="shared" si="1"/>
        <v>0</v>
      </c>
    </row>
    <row r="127" spans="1:8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  <c r="H127">
        <f t="shared" si="1"/>
        <v>0</v>
      </c>
    </row>
    <row r="128" spans="1:8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  <c r="H128">
        <f t="shared" si="1"/>
        <v>0</v>
      </c>
    </row>
    <row r="129" spans="1:8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  <c r="H129">
        <f t="shared" si="1"/>
        <v>1</v>
      </c>
    </row>
    <row r="130" spans="1:8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  <c r="H130">
        <f t="shared" si="1"/>
        <v>0</v>
      </c>
    </row>
    <row r="131" spans="1:8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  <c r="H131">
        <f t="shared" si="1"/>
        <v>1</v>
      </c>
    </row>
    <row r="132" spans="1:8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  <c r="H132">
        <f t="shared" ref="H132:H195" si="2">IF(AND(D132&lt;=D131,E132&gt;=E131),H131+1,0)</f>
        <v>2</v>
      </c>
    </row>
    <row r="133" spans="1:8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  <c r="H133">
        <f t="shared" si="2"/>
        <v>3</v>
      </c>
    </row>
    <row r="134" spans="1:8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  <c r="H134">
        <f t="shared" si="2"/>
        <v>0</v>
      </c>
    </row>
    <row r="135" spans="1:8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  <c r="H135">
        <f t="shared" si="2"/>
        <v>0</v>
      </c>
    </row>
    <row r="136" spans="1:8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  <c r="H136">
        <f t="shared" si="2"/>
        <v>1</v>
      </c>
    </row>
    <row r="137" spans="1:8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  <c r="H137">
        <f t="shared" si="2"/>
        <v>2</v>
      </c>
    </row>
    <row r="138" spans="1:8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  <c r="H138">
        <f t="shared" si="2"/>
        <v>0</v>
      </c>
    </row>
    <row r="139" spans="1:8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  <c r="H139">
        <f t="shared" si="2"/>
        <v>1</v>
      </c>
    </row>
    <row r="140" spans="1:8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  <c r="H140">
        <f t="shared" si="2"/>
        <v>0</v>
      </c>
    </row>
    <row r="141" spans="1:8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  <c r="H141">
        <f t="shared" si="2"/>
        <v>1</v>
      </c>
    </row>
    <row r="142" spans="1:8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  <c r="H142">
        <f t="shared" si="2"/>
        <v>0</v>
      </c>
    </row>
    <row r="143" spans="1:8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  <c r="H143">
        <f t="shared" si="2"/>
        <v>1</v>
      </c>
    </row>
    <row r="144" spans="1:8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  <c r="H144">
        <f t="shared" si="2"/>
        <v>0</v>
      </c>
    </row>
    <row r="145" spans="1:8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  <c r="H145">
        <f t="shared" si="2"/>
        <v>1</v>
      </c>
    </row>
    <row r="146" spans="1:8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  <c r="H146">
        <f t="shared" si="2"/>
        <v>0</v>
      </c>
    </row>
    <row r="147" spans="1:8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  <c r="H147">
        <f t="shared" si="2"/>
        <v>1</v>
      </c>
    </row>
    <row r="148" spans="1:8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  <c r="H148">
        <f t="shared" si="2"/>
        <v>2</v>
      </c>
    </row>
    <row r="149" spans="1:8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  <c r="H149">
        <f t="shared" si="2"/>
        <v>3</v>
      </c>
    </row>
    <row r="150" spans="1:8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  <c r="H150">
        <f t="shared" si="2"/>
        <v>4</v>
      </c>
    </row>
    <row r="151" spans="1:8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  <c r="H151">
        <f t="shared" si="2"/>
        <v>5</v>
      </c>
    </row>
    <row r="152" spans="1:8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  <c r="H152">
        <f t="shared" si="2"/>
        <v>6</v>
      </c>
    </row>
    <row r="153" spans="1:8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  <c r="H153">
        <f t="shared" si="2"/>
        <v>0</v>
      </c>
    </row>
    <row r="154" spans="1:8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  <c r="H154">
        <f t="shared" si="2"/>
        <v>0</v>
      </c>
    </row>
    <row r="155" spans="1:8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  <c r="H155">
        <f t="shared" si="2"/>
        <v>1</v>
      </c>
    </row>
    <row r="156" spans="1:8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  <c r="H156">
        <f t="shared" si="2"/>
        <v>0</v>
      </c>
    </row>
    <row r="157" spans="1:8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  <c r="H157">
        <f t="shared" si="2"/>
        <v>1</v>
      </c>
    </row>
    <row r="158" spans="1:8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  <c r="H158">
        <f t="shared" si="2"/>
        <v>2</v>
      </c>
    </row>
    <row r="159" spans="1:8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  <c r="H159">
        <f t="shared" si="2"/>
        <v>3</v>
      </c>
    </row>
    <row r="160" spans="1:8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  <c r="H160">
        <f t="shared" si="2"/>
        <v>0</v>
      </c>
    </row>
    <row r="161" spans="1:8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  <c r="H161">
        <f t="shared" si="2"/>
        <v>0</v>
      </c>
    </row>
    <row r="162" spans="1:8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  <c r="H162">
        <f t="shared" si="2"/>
        <v>1</v>
      </c>
    </row>
    <row r="163" spans="1:8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  <c r="H163">
        <f t="shared" si="2"/>
        <v>0</v>
      </c>
    </row>
    <row r="164" spans="1:8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  <c r="H164">
        <f t="shared" si="2"/>
        <v>0</v>
      </c>
    </row>
    <row r="165" spans="1:8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  <c r="H165">
        <f t="shared" si="2"/>
        <v>1</v>
      </c>
    </row>
    <row r="166" spans="1:8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  <c r="H166">
        <f t="shared" si="2"/>
        <v>2</v>
      </c>
    </row>
    <row r="167" spans="1:8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  <c r="H167">
        <f t="shared" si="2"/>
        <v>0</v>
      </c>
    </row>
    <row r="168" spans="1:8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  <c r="H168">
        <f t="shared" si="2"/>
        <v>1</v>
      </c>
    </row>
    <row r="169" spans="1:8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  <c r="H169">
        <f t="shared" si="2"/>
        <v>0</v>
      </c>
    </row>
    <row r="170" spans="1:8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  <c r="H170">
        <f t="shared" si="2"/>
        <v>1</v>
      </c>
    </row>
    <row r="171" spans="1:8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  <c r="H171">
        <f t="shared" si="2"/>
        <v>2</v>
      </c>
    </row>
    <row r="172" spans="1:8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  <c r="H172">
        <f t="shared" si="2"/>
        <v>0</v>
      </c>
    </row>
    <row r="173" spans="1:8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  <c r="H173">
        <f t="shared" si="2"/>
        <v>1</v>
      </c>
    </row>
    <row r="174" spans="1:8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  <c r="H174">
        <f t="shared" si="2"/>
        <v>0</v>
      </c>
    </row>
    <row r="175" spans="1:8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  <c r="H175">
        <f t="shared" si="2"/>
        <v>1</v>
      </c>
    </row>
    <row r="176" spans="1:8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  <c r="H176">
        <f t="shared" si="2"/>
        <v>0</v>
      </c>
    </row>
    <row r="177" spans="1:8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  <c r="H177">
        <f t="shared" si="2"/>
        <v>0</v>
      </c>
    </row>
    <row r="178" spans="1:8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  <c r="H178">
        <f t="shared" si="2"/>
        <v>1</v>
      </c>
    </row>
    <row r="179" spans="1:8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  <c r="H179">
        <f t="shared" si="2"/>
        <v>2</v>
      </c>
    </row>
    <row r="180" spans="1:8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  <c r="H180">
        <f t="shared" si="2"/>
        <v>3</v>
      </c>
    </row>
    <row r="181" spans="1:8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  <c r="H181">
        <f t="shared" si="2"/>
        <v>4</v>
      </c>
    </row>
    <row r="182" spans="1:8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  <c r="H182">
        <f t="shared" si="2"/>
        <v>0</v>
      </c>
    </row>
    <row r="183" spans="1:8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  <c r="H183">
        <f t="shared" si="2"/>
        <v>0</v>
      </c>
    </row>
    <row r="184" spans="1:8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  <c r="H184">
        <f t="shared" si="2"/>
        <v>1</v>
      </c>
    </row>
    <row r="185" spans="1:8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  <c r="H185">
        <f t="shared" si="2"/>
        <v>2</v>
      </c>
    </row>
    <row r="186" spans="1:8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  <c r="H186">
        <f t="shared" si="2"/>
        <v>3</v>
      </c>
    </row>
    <row r="187" spans="1:8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  <c r="H187">
        <f t="shared" si="2"/>
        <v>0</v>
      </c>
    </row>
    <row r="188" spans="1:8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  <c r="H188">
        <f t="shared" si="2"/>
        <v>0</v>
      </c>
    </row>
    <row r="189" spans="1:8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  <c r="H189">
        <f t="shared" si="2"/>
        <v>1</v>
      </c>
    </row>
    <row r="190" spans="1:8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  <c r="H190">
        <f t="shared" si="2"/>
        <v>0</v>
      </c>
    </row>
    <row r="191" spans="1:8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  <c r="H191">
        <f t="shared" si="2"/>
        <v>1</v>
      </c>
    </row>
    <row r="192" spans="1:8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  <c r="H192">
        <f t="shared" si="2"/>
        <v>2</v>
      </c>
    </row>
    <row r="193" spans="1:8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  <c r="H193">
        <f t="shared" si="2"/>
        <v>0</v>
      </c>
    </row>
    <row r="194" spans="1:8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  <c r="H194">
        <f t="shared" si="2"/>
        <v>1</v>
      </c>
    </row>
    <row r="195" spans="1:8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  <c r="H195">
        <f t="shared" si="2"/>
        <v>0</v>
      </c>
    </row>
    <row r="196" spans="1:8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  <c r="H196">
        <f t="shared" ref="H196:H259" si="3">IF(AND(D196&lt;=D195,E196&gt;=E195),H195+1,0)</f>
        <v>0</v>
      </c>
    </row>
    <row r="197" spans="1:8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  <c r="H197">
        <f t="shared" si="3"/>
        <v>1</v>
      </c>
    </row>
    <row r="198" spans="1:8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  <c r="H198">
        <f t="shared" si="3"/>
        <v>0</v>
      </c>
    </row>
    <row r="199" spans="1:8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  <c r="H199">
        <f t="shared" si="3"/>
        <v>1</v>
      </c>
    </row>
    <row r="200" spans="1:8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  <c r="H200">
        <f t="shared" si="3"/>
        <v>0</v>
      </c>
    </row>
    <row r="201" spans="1:8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  <c r="H201">
        <f t="shared" si="3"/>
        <v>0</v>
      </c>
    </row>
    <row r="202" spans="1:8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  <c r="H202">
        <f t="shared" si="3"/>
        <v>0</v>
      </c>
    </row>
    <row r="203" spans="1:8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  <c r="H203">
        <f t="shared" si="3"/>
        <v>1</v>
      </c>
    </row>
    <row r="204" spans="1:8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  <c r="H204">
        <f t="shared" si="3"/>
        <v>0</v>
      </c>
    </row>
    <row r="205" spans="1:8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  <c r="H205">
        <f t="shared" si="3"/>
        <v>1</v>
      </c>
    </row>
    <row r="206" spans="1:8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  <c r="H206">
        <f t="shared" si="3"/>
        <v>0</v>
      </c>
    </row>
    <row r="207" spans="1:8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  <c r="H207">
        <f t="shared" si="3"/>
        <v>0</v>
      </c>
    </row>
    <row r="208" spans="1:8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  <c r="H208">
        <f t="shared" si="3"/>
        <v>1</v>
      </c>
    </row>
    <row r="209" spans="1:8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  <c r="H209">
        <f t="shared" si="3"/>
        <v>2</v>
      </c>
    </row>
    <row r="210" spans="1:8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  <c r="H210">
        <f t="shared" si="3"/>
        <v>3</v>
      </c>
    </row>
    <row r="211" spans="1:8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  <c r="H211">
        <f t="shared" si="3"/>
        <v>0</v>
      </c>
    </row>
    <row r="212" spans="1:8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  <c r="H212">
        <f t="shared" si="3"/>
        <v>0</v>
      </c>
    </row>
    <row r="213" spans="1:8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  <c r="H213">
        <f t="shared" si="3"/>
        <v>0</v>
      </c>
    </row>
    <row r="214" spans="1:8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  <c r="H214">
        <f t="shared" si="3"/>
        <v>1</v>
      </c>
    </row>
    <row r="215" spans="1:8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  <c r="H215">
        <f t="shared" si="3"/>
        <v>2</v>
      </c>
    </row>
    <row r="216" spans="1:8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  <c r="H216">
        <f t="shared" si="3"/>
        <v>0</v>
      </c>
    </row>
    <row r="217" spans="1:8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  <c r="H217">
        <f t="shared" si="3"/>
        <v>1</v>
      </c>
    </row>
    <row r="218" spans="1:8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  <c r="H218">
        <f t="shared" si="3"/>
        <v>0</v>
      </c>
    </row>
    <row r="219" spans="1:8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  <c r="H219">
        <f t="shared" si="3"/>
        <v>0</v>
      </c>
    </row>
    <row r="220" spans="1:8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  <c r="H220">
        <f t="shared" si="3"/>
        <v>1</v>
      </c>
    </row>
    <row r="221" spans="1:8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  <c r="H221">
        <f t="shared" si="3"/>
        <v>0</v>
      </c>
    </row>
    <row r="222" spans="1:8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  <c r="H222">
        <f t="shared" si="3"/>
        <v>1</v>
      </c>
    </row>
    <row r="223" spans="1:8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  <c r="H223">
        <f t="shared" si="3"/>
        <v>2</v>
      </c>
    </row>
    <row r="224" spans="1:8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  <c r="H224">
        <f t="shared" si="3"/>
        <v>0</v>
      </c>
    </row>
    <row r="225" spans="1:8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  <c r="H225">
        <f t="shared" si="3"/>
        <v>0</v>
      </c>
    </row>
    <row r="226" spans="1:8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  <c r="H226">
        <f t="shared" si="3"/>
        <v>1</v>
      </c>
    </row>
    <row r="227" spans="1:8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  <c r="H227">
        <f t="shared" si="3"/>
        <v>0</v>
      </c>
    </row>
    <row r="228" spans="1:8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  <c r="H228">
        <f t="shared" si="3"/>
        <v>1</v>
      </c>
    </row>
    <row r="229" spans="1:8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  <c r="H229">
        <f t="shared" si="3"/>
        <v>0</v>
      </c>
    </row>
    <row r="230" spans="1:8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  <c r="H230">
        <f t="shared" si="3"/>
        <v>1</v>
      </c>
    </row>
    <row r="231" spans="1:8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  <c r="H231">
        <f t="shared" si="3"/>
        <v>2</v>
      </c>
    </row>
    <row r="232" spans="1:8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  <c r="H232">
        <f t="shared" si="3"/>
        <v>0</v>
      </c>
    </row>
    <row r="233" spans="1:8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  <c r="H233">
        <f t="shared" si="3"/>
        <v>1</v>
      </c>
    </row>
    <row r="234" spans="1:8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  <c r="H234">
        <f t="shared" si="3"/>
        <v>0</v>
      </c>
    </row>
    <row r="235" spans="1:8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  <c r="H235">
        <f t="shared" si="3"/>
        <v>1</v>
      </c>
    </row>
    <row r="236" spans="1:8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  <c r="H236">
        <f t="shared" si="3"/>
        <v>0</v>
      </c>
    </row>
    <row r="237" spans="1:8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  <c r="H237">
        <f t="shared" si="3"/>
        <v>1</v>
      </c>
    </row>
    <row r="238" spans="1:8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  <c r="H238">
        <f t="shared" si="3"/>
        <v>0</v>
      </c>
    </row>
    <row r="239" spans="1:8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  <c r="H239">
        <f t="shared" si="3"/>
        <v>0</v>
      </c>
    </row>
    <row r="240" spans="1:8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  <c r="H240">
        <f t="shared" si="3"/>
        <v>1</v>
      </c>
    </row>
    <row r="241" spans="1:8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  <c r="H241">
        <f t="shared" si="3"/>
        <v>2</v>
      </c>
    </row>
    <row r="242" spans="1:8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  <c r="H242">
        <f t="shared" si="3"/>
        <v>3</v>
      </c>
    </row>
    <row r="243" spans="1:8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  <c r="H243">
        <f t="shared" si="3"/>
        <v>0</v>
      </c>
    </row>
    <row r="244" spans="1:8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  <c r="H244">
        <f t="shared" si="3"/>
        <v>0</v>
      </c>
    </row>
    <row r="245" spans="1:8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  <c r="H245">
        <f t="shared" si="3"/>
        <v>0</v>
      </c>
    </row>
    <row r="246" spans="1:8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  <c r="H246">
        <f t="shared" si="3"/>
        <v>0</v>
      </c>
    </row>
    <row r="247" spans="1:8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  <c r="H247">
        <f t="shared" si="3"/>
        <v>0</v>
      </c>
    </row>
    <row r="248" spans="1:8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  <c r="H248">
        <f t="shared" si="3"/>
        <v>1</v>
      </c>
    </row>
    <row r="249" spans="1:8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  <c r="H249">
        <f t="shared" si="3"/>
        <v>0</v>
      </c>
    </row>
    <row r="250" spans="1:8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  <c r="H250">
        <f t="shared" si="3"/>
        <v>0</v>
      </c>
    </row>
    <row r="251" spans="1:8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  <c r="H251">
        <f t="shared" si="3"/>
        <v>1</v>
      </c>
    </row>
    <row r="252" spans="1:8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  <c r="H252">
        <f t="shared" si="3"/>
        <v>0</v>
      </c>
    </row>
    <row r="253" spans="1:8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  <c r="H253">
        <f t="shared" si="3"/>
        <v>0</v>
      </c>
    </row>
    <row r="254" spans="1:8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  <c r="H254">
        <f t="shared" si="3"/>
        <v>1</v>
      </c>
    </row>
    <row r="255" spans="1:8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  <c r="H255">
        <f t="shared" si="3"/>
        <v>0</v>
      </c>
    </row>
    <row r="256" spans="1:8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  <c r="H256">
        <f t="shared" si="3"/>
        <v>0</v>
      </c>
    </row>
    <row r="257" spans="1:8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  <c r="H257">
        <f t="shared" si="3"/>
        <v>1</v>
      </c>
    </row>
    <row r="258" spans="1:8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  <c r="H258">
        <f t="shared" si="3"/>
        <v>2</v>
      </c>
    </row>
    <row r="259" spans="1:8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  <c r="H259">
        <f t="shared" si="3"/>
        <v>3</v>
      </c>
    </row>
    <row r="260" spans="1:8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  <c r="H260">
        <f t="shared" ref="H260:H323" si="4">IF(AND(D260&lt;=D259,E260&gt;=E259),H259+1,0)</f>
        <v>0</v>
      </c>
    </row>
    <row r="261" spans="1:8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  <c r="H261">
        <f t="shared" si="4"/>
        <v>1</v>
      </c>
    </row>
    <row r="262" spans="1:8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  <c r="H262">
        <f t="shared" si="4"/>
        <v>0</v>
      </c>
    </row>
    <row r="263" spans="1:8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  <c r="H263">
        <f t="shared" si="4"/>
        <v>0</v>
      </c>
    </row>
    <row r="264" spans="1:8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  <c r="H264">
        <f t="shared" si="4"/>
        <v>1</v>
      </c>
    </row>
    <row r="265" spans="1:8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  <c r="H265">
        <f t="shared" si="4"/>
        <v>2</v>
      </c>
    </row>
    <row r="266" spans="1:8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  <c r="H266">
        <f t="shared" si="4"/>
        <v>3</v>
      </c>
    </row>
    <row r="267" spans="1:8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  <c r="H267">
        <f t="shared" si="4"/>
        <v>0</v>
      </c>
    </row>
    <row r="268" spans="1:8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  <c r="H268">
        <f t="shared" si="4"/>
        <v>1</v>
      </c>
    </row>
    <row r="269" spans="1:8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  <c r="H269">
        <f t="shared" si="4"/>
        <v>2</v>
      </c>
    </row>
    <row r="270" spans="1:8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  <c r="H270">
        <f t="shared" si="4"/>
        <v>0</v>
      </c>
    </row>
    <row r="271" spans="1:8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  <c r="H271">
        <f t="shared" si="4"/>
        <v>1</v>
      </c>
    </row>
    <row r="272" spans="1:8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  <c r="H272">
        <f t="shared" si="4"/>
        <v>2</v>
      </c>
    </row>
    <row r="273" spans="1:8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  <c r="H273">
        <f t="shared" si="4"/>
        <v>0</v>
      </c>
    </row>
    <row r="274" spans="1:8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  <c r="H274">
        <f t="shared" si="4"/>
        <v>1</v>
      </c>
    </row>
    <row r="275" spans="1:8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  <c r="H275">
        <f t="shared" si="4"/>
        <v>0</v>
      </c>
    </row>
    <row r="276" spans="1:8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  <c r="H276">
        <f t="shared" si="4"/>
        <v>1</v>
      </c>
    </row>
    <row r="277" spans="1:8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  <c r="H277">
        <f t="shared" si="4"/>
        <v>0</v>
      </c>
    </row>
    <row r="278" spans="1:8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  <c r="H278">
        <f t="shared" si="4"/>
        <v>0</v>
      </c>
    </row>
    <row r="279" spans="1:8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  <c r="H279">
        <f t="shared" si="4"/>
        <v>1</v>
      </c>
    </row>
    <row r="280" spans="1:8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  <c r="H280">
        <f t="shared" si="4"/>
        <v>2</v>
      </c>
    </row>
    <row r="281" spans="1:8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  <c r="H281">
        <f t="shared" si="4"/>
        <v>0</v>
      </c>
    </row>
    <row r="282" spans="1:8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  <c r="H282">
        <f t="shared" si="4"/>
        <v>0</v>
      </c>
    </row>
    <row r="283" spans="1:8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  <c r="H283">
        <f t="shared" si="4"/>
        <v>1</v>
      </c>
    </row>
    <row r="284" spans="1:8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  <c r="H284">
        <f t="shared" si="4"/>
        <v>0</v>
      </c>
    </row>
    <row r="285" spans="1:8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  <c r="H285">
        <f t="shared" si="4"/>
        <v>0</v>
      </c>
    </row>
    <row r="286" spans="1:8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  <c r="H286">
        <f t="shared" si="4"/>
        <v>1</v>
      </c>
    </row>
    <row r="287" spans="1:8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  <c r="H287">
        <f t="shared" si="4"/>
        <v>0</v>
      </c>
    </row>
    <row r="288" spans="1:8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  <c r="H288">
        <f t="shared" si="4"/>
        <v>1</v>
      </c>
    </row>
    <row r="289" spans="1:8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  <c r="H289">
        <f t="shared" si="4"/>
        <v>0</v>
      </c>
    </row>
    <row r="290" spans="1:8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  <c r="H290">
        <f t="shared" si="4"/>
        <v>1</v>
      </c>
    </row>
    <row r="291" spans="1:8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  <c r="H291">
        <f t="shared" si="4"/>
        <v>0</v>
      </c>
    </row>
    <row r="292" spans="1:8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  <c r="H292">
        <f t="shared" si="4"/>
        <v>0</v>
      </c>
    </row>
    <row r="293" spans="1:8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  <c r="H293">
        <f t="shared" si="4"/>
        <v>1</v>
      </c>
    </row>
    <row r="294" spans="1:8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  <c r="H294">
        <f t="shared" si="4"/>
        <v>2</v>
      </c>
    </row>
    <row r="295" spans="1:8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  <c r="H295">
        <f t="shared" si="4"/>
        <v>0</v>
      </c>
    </row>
    <row r="296" spans="1:8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  <c r="H296">
        <f t="shared" si="4"/>
        <v>1</v>
      </c>
    </row>
    <row r="297" spans="1:8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  <c r="H297">
        <f t="shared" si="4"/>
        <v>0</v>
      </c>
    </row>
    <row r="298" spans="1:8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  <c r="H298">
        <f t="shared" si="4"/>
        <v>1</v>
      </c>
    </row>
    <row r="299" spans="1:8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  <c r="H299">
        <f t="shared" si="4"/>
        <v>0</v>
      </c>
    </row>
    <row r="300" spans="1:8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  <c r="H300">
        <f t="shared" si="4"/>
        <v>0</v>
      </c>
    </row>
    <row r="301" spans="1:8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  <c r="H301">
        <f t="shared" si="4"/>
        <v>1</v>
      </c>
    </row>
    <row r="302" spans="1:8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  <c r="H302">
        <f t="shared" si="4"/>
        <v>0</v>
      </c>
    </row>
    <row r="303" spans="1:8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  <c r="H303">
        <f t="shared" si="4"/>
        <v>0</v>
      </c>
    </row>
    <row r="304" spans="1:8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  <c r="H304">
        <f t="shared" si="4"/>
        <v>1</v>
      </c>
    </row>
    <row r="305" spans="1:8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  <c r="H305">
        <f t="shared" si="4"/>
        <v>0</v>
      </c>
    </row>
    <row r="306" spans="1:8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  <c r="H306">
        <f t="shared" si="4"/>
        <v>0</v>
      </c>
    </row>
    <row r="307" spans="1:8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  <c r="H307">
        <f t="shared" si="4"/>
        <v>1</v>
      </c>
    </row>
    <row r="308" spans="1:8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  <c r="H308">
        <f t="shared" si="4"/>
        <v>0</v>
      </c>
    </row>
    <row r="309" spans="1:8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  <c r="H309">
        <f t="shared" si="4"/>
        <v>1</v>
      </c>
    </row>
    <row r="310" spans="1:8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  <c r="H310">
        <f t="shared" si="4"/>
        <v>2</v>
      </c>
    </row>
    <row r="311" spans="1:8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  <c r="H311">
        <f t="shared" si="4"/>
        <v>3</v>
      </c>
    </row>
    <row r="312" spans="1:8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  <c r="H312">
        <f t="shared" si="4"/>
        <v>0</v>
      </c>
    </row>
    <row r="313" spans="1:8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  <c r="H313">
        <f t="shared" si="4"/>
        <v>1</v>
      </c>
    </row>
    <row r="314" spans="1:8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  <c r="H314">
        <f t="shared" si="4"/>
        <v>0</v>
      </c>
    </row>
    <row r="315" spans="1:8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  <c r="H315">
        <f t="shared" si="4"/>
        <v>1</v>
      </c>
    </row>
    <row r="316" spans="1:8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  <c r="H316">
        <f t="shared" si="4"/>
        <v>0</v>
      </c>
    </row>
    <row r="317" spans="1:8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  <c r="H317">
        <f t="shared" si="4"/>
        <v>0</v>
      </c>
    </row>
    <row r="318" spans="1:8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  <c r="H318">
        <f t="shared" si="4"/>
        <v>0</v>
      </c>
    </row>
    <row r="319" spans="1:8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  <c r="H319">
        <f t="shared" si="4"/>
        <v>1</v>
      </c>
    </row>
    <row r="320" spans="1:8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  <c r="H320">
        <f t="shared" si="4"/>
        <v>0</v>
      </c>
    </row>
    <row r="321" spans="1:8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  <c r="H321">
        <f t="shared" si="4"/>
        <v>1</v>
      </c>
    </row>
    <row r="322" spans="1:8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  <c r="H322">
        <f t="shared" si="4"/>
        <v>2</v>
      </c>
    </row>
    <row r="323" spans="1:8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  <c r="H323">
        <f t="shared" si="4"/>
        <v>0</v>
      </c>
    </row>
    <row r="324" spans="1:8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  <c r="H324">
        <f t="shared" ref="H324:H366" si="5">IF(AND(D324&lt;=D323,E324&gt;=E323),H323+1,0)</f>
        <v>0</v>
      </c>
    </row>
    <row r="325" spans="1:8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  <c r="H325">
        <f t="shared" si="5"/>
        <v>1</v>
      </c>
    </row>
    <row r="326" spans="1:8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  <c r="H326">
        <f t="shared" si="5"/>
        <v>0</v>
      </c>
    </row>
    <row r="327" spans="1:8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  <c r="H327">
        <f t="shared" si="5"/>
        <v>1</v>
      </c>
    </row>
    <row r="328" spans="1:8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  <c r="H328">
        <f t="shared" si="5"/>
        <v>0</v>
      </c>
    </row>
    <row r="329" spans="1:8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  <c r="H329">
        <f t="shared" si="5"/>
        <v>1</v>
      </c>
    </row>
    <row r="330" spans="1:8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  <c r="H330">
        <f t="shared" si="5"/>
        <v>0</v>
      </c>
    </row>
    <row r="331" spans="1:8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  <c r="H331">
        <f t="shared" si="5"/>
        <v>1</v>
      </c>
    </row>
    <row r="332" spans="1:8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  <c r="H332">
        <f t="shared" si="5"/>
        <v>0</v>
      </c>
    </row>
    <row r="333" spans="1:8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  <c r="H333">
        <f t="shared" si="5"/>
        <v>0</v>
      </c>
    </row>
    <row r="334" spans="1:8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  <c r="H334">
        <f t="shared" si="5"/>
        <v>0</v>
      </c>
    </row>
    <row r="335" spans="1:8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  <c r="H335">
        <f t="shared" si="5"/>
        <v>0</v>
      </c>
    </row>
    <row r="336" spans="1:8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  <c r="H336">
        <f t="shared" si="5"/>
        <v>1</v>
      </c>
    </row>
    <row r="337" spans="1:8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  <c r="H337">
        <f t="shared" si="5"/>
        <v>0</v>
      </c>
    </row>
    <row r="338" spans="1:8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  <c r="H338">
        <f t="shared" si="5"/>
        <v>1</v>
      </c>
    </row>
    <row r="339" spans="1:8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  <c r="H339">
        <f t="shared" si="5"/>
        <v>0</v>
      </c>
    </row>
    <row r="340" spans="1:8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  <c r="H340">
        <f t="shared" si="5"/>
        <v>1</v>
      </c>
    </row>
    <row r="341" spans="1:8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  <c r="H341">
        <f t="shared" si="5"/>
        <v>0</v>
      </c>
    </row>
    <row r="342" spans="1:8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  <c r="H342">
        <f t="shared" si="5"/>
        <v>1</v>
      </c>
    </row>
    <row r="343" spans="1:8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  <c r="H343">
        <f t="shared" si="5"/>
        <v>0</v>
      </c>
    </row>
    <row r="344" spans="1:8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  <c r="H344">
        <f t="shared" si="5"/>
        <v>1</v>
      </c>
    </row>
    <row r="345" spans="1:8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  <c r="H345">
        <f t="shared" si="5"/>
        <v>2</v>
      </c>
    </row>
    <row r="346" spans="1:8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  <c r="H346">
        <f t="shared" si="5"/>
        <v>0</v>
      </c>
    </row>
    <row r="347" spans="1:8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  <c r="H347">
        <f t="shared" si="5"/>
        <v>0</v>
      </c>
    </row>
    <row r="348" spans="1:8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  <c r="H348">
        <f t="shared" si="5"/>
        <v>1</v>
      </c>
    </row>
    <row r="349" spans="1:8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  <c r="H349">
        <f t="shared" si="5"/>
        <v>0</v>
      </c>
    </row>
    <row r="350" spans="1:8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  <c r="H350">
        <f t="shared" si="5"/>
        <v>1</v>
      </c>
    </row>
    <row r="351" spans="1:8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  <c r="H351">
        <f t="shared" si="5"/>
        <v>0</v>
      </c>
    </row>
    <row r="352" spans="1:8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  <c r="H352">
        <f t="shared" si="5"/>
        <v>1</v>
      </c>
    </row>
    <row r="353" spans="1:8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  <c r="H353">
        <f t="shared" si="5"/>
        <v>2</v>
      </c>
    </row>
    <row r="354" spans="1:8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  <c r="H354">
        <f t="shared" si="5"/>
        <v>0</v>
      </c>
    </row>
    <row r="355" spans="1:8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  <c r="H355">
        <f t="shared" si="5"/>
        <v>1</v>
      </c>
    </row>
    <row r="356" spans="1:8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  <c r="H356">
        <f t="shared" si="5"/>
        <v>2</v>
      </c>
    </row>
    <row r="357" spans="1:8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  <c r="H357">
        <f t="shared" si="5"/>
        <v>0</v>
      </c>
    </row>
    <row r="358" spans="1:8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  <c r="H358">
        <f t="shared" si="5"/>
        <v>1</v>
      </c>
    </row>
    <row r="359" spans="1:8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  <c r="H359">
        <f t="shared" si="5"/>
        <v>0</v>
      </c>
    </row>
    <row r="360" spans="1:8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  <c r="H360">
        <f t="shared" si="5"/>
        <v>1</v>
      </c>
    </row>
    <row r="361" spans="1:8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  <c r="H361">
        <f t="shared" si="5"/>
        <v>2</v>
      </c>
    </row>
    <row r="362" spans="1:8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  <c r="H362">
        <f t="shared" si="5"/>
        <v>3</v>
      </c>
    </row>
    <row r="363" spans="1:8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  <c r="H363">
        <f t="shared" si="5"/>
        <v>0</v>
      </c>
    </row>
    <row r="364" spans="1:8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  <c r="H364">
        <f t="shared" si="5"/>
        <v>0</v>
      </c>
    </row>
    <row r="365" spans="1:8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  <c r="H365">
        <f t="shared" si="5"/>
        <v>1</v>
      </c>
    </row>
    <row r="366" spans="1:8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  <c r="H366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B43C-4C1E-43B4-93CA-DAF4CEA04726}">
  <dimension ref="A1:N366"/>
  <sheetViews>
    <sheetView workbookViewId="0">
      <selection activeCell="M44" sqref="M44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  <col min="8" max="8" width="15.5703125" style="20" bestFit="1" customWidth="1"/>
    <col min="11" max="12" width="17.7109375" bestFit="1" customWidth="1"/>
    <col min="13" max="13" width="16.85546875" bestFit="1" customWidth="1"/>
    <col min="14" max="14" width="18.42578125" bestFit="1" customWidth="1"/>
  </cols>
  <sheetData>
    <row r="1" spans="1:14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9" t="s">
        <v>9</v>
      </c>
    </row>
    <row r="2" spans="1:14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  <c r="H2" s="20">
        <f>ROUNDDOWN((C2-B2)*24,0)</f>
        <v>7</v>
      </c>
    </row>
    <row r="3" spans="1:14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  <c r="H3" s="20">
        <f>ROUNDDOWN((C3-B3)*24,0)</f>
        <v>7</v>
      </c>
    </row>
    <row r="4" spans="1:14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  <c r="H4" s="20">
        <f t="shared" ref="H3:H66" si="0">ROUNDDOWN((C4-B4)*24,0)</f>
        <v>7</v>
      </c>
    </row>
    <row r="5" spans="1:14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  <c r="H5" s="20">
        <f t="shared" si="0"/>
        <v>7</v>
      </c>
      <c r="K5" s="21" t="s">
        <v>10</v>
      </c>
      <c r="L5" t="s">
        <v>12</v>
      </c>
      <c r="M5" t="s">
        <v>13</v>
      </c>
      <c r="N5" t="s">
        <v>14</v>
      </c>
    </row>
    <row r="6" spans="1:14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  <c r="H6" s="20">
        <f t="shared" si="0"/>
        <v>7</v>
      </c>
      <c r="K6" s="22">
        <v>7</v>
      </c>
      <c r="L6" s="20">
        <v>4.9245161290322583</v>
      </c>
      <c r="M6" s="20">
        <v>1.0867741935483872</v>
      </c>
      <c r="N6" s="20">
        <v>2.8851612903225816</v>
      </c>
    </row>
    <row r="7" spans="1:14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  <c r="H7" s="20">
        <f t="shared" si="0"/>
        <v>8</v>
      </c>
      <c r="K7" s="22">
        <v>8</v>
      </c>
      <c r="L7" s="20">
        <v>3.3853191489361691</v>
      </c>
      <c r="M7" s="20">
        <v>1.6531914893617019</v>
      </c>
      <c r="N7" s="20">
        <v>3.8480851063829786</v>
      </c>
    </row>
    <row r="8" spans="1:14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  <c r="H8" s="20">
        <f t="shared" si="0"/>
        <v>8</v>
      </c>
      <c r="K8" s="22">
        <v>9</v>
      </c>
      <c r="L8" s="20">
        <v>3.1033333333333335</v>
      </c>
      <c r="M8" s="20">
        <v>2.5590909090909082</v>
      </c>
      <c r="N8" s="20">
        <v>5.4006060606060604</v>
      </c>
    </row>
    <row r="9" spans="1:14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  <c r="H9" s="20">
        <f t="shared" si="0"/>
        <v>8</v>
      </c>
      <c r="K9" s="22">
        <v>10</v>
      </c>
      <c r="L9" s="20">
        <v>2.8179999999999996</v>
      </c>
      <c r="M9" s="20">
        <v>3.0203333333333329</v>
      </c>
      <c r="N9" s="20">
        <v>6.9366666666666665</v>
      </c>
    </row>
    <row r="10" spans="1:14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  <c r="H10" s="20">
        <f t="shared" si="0"/>
        <v>8</v>
      </c>
      <c r="K10" s="22">
        <v>11</v>
      </c>
      <c r="L10" s="20">
        <v>2.6263333333333332</v>
      </c>
      <c r="M10" s="20">
        <v>3.4816666666666674</v>
      </c>
      <c r="N10" s="20">
        <v>7.1539999999999981</v>
      </c>
    </row>
    <row r="11" spans="1:14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  <c r="H11" s="20">
        <f t="shared" si="0"/>
        <v>8</v>
      </c>
      <c r="K11" s="22">
        <v>12</v>
      </c>
      <c r="L11" s="20">
        <v>2.6583333333333337</v>
      </c>
      <c r="M11" s="20">
        <v>5.4006666666666669</v>
      </c>
      <c r="N11" s="20">
        <v>11.322666666666665</v>
      </c>
    </row>
    <row r="12" spans="1:14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  <c r="H12" s="20">
        <f t="shared" si="0"/>
        <v>8</v>
      </c>
      <c r="K12" s="22">
        <v>13</v>
      </c>
      <c r="L12" s="20">
        <v>2.4974193548387102</v>
      </c>
      <c r="M12" s="20">
        <v>6.347419354838709</v>
      </c>
      <c r="N12" s="20">
        <v>12.232258064516127</v>
      </c>
    </row>
    <row r="13" spans="1:14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  <c r="H13" s="20">
        <f t="shared" si="0"/>
        <v>8</v>
      </c>
      <c r="K13" s="22">
        <v>14</v>
      </c>
      <c r="L13" s="20">
        <v>2.5077419354838715</v>
      </c>
      <c r="M13" s="20">
        <v>5.5135483870967743</v>
      </c>
      <c r="N13" s="20">
        <v>10.975483870967745</v>
      </c>
    </row>
    <row r="14" spans="1:14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  <c r="H14" s="20">
        <f t="shared" si="0"/>
        <v>8</v>
      </c>
      <c r="K14" s="22">
        <v>15</v>
      </c>
      <c r="L14" s="20">
        <v>2.4445945945945948</v>
      </c>
      <c r="M14" s="20">
        <v>6.6997297297297296</v>
      </c>
      <c r="N14" s="20">
        <v>13.208108108108107</v>
      </c>
    </row>
    <row r="15" spans="1:14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  <c r="H15" s="20">
        <f t="shared" si="0"/>
        <v>8</v>
      </c>
      <c r="K15" s="22">
        <v>16</v>
      </c>
      <c r="L15" s="20">
        <v>2.7924615384615374</v>
      </c>
      <c r="M15" s="20">
        <v>6.7406153846153831</v>
      </c>
      <c r="N15" s="20">
        <v>12.592615384615385</v>
      </c>
    </row>
    <row r="16" spans="1:14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  <c r="H16" s="20">
        <f t="shared" si="0"/>
        <v>8</v>
      </c>
      <c r="K16" s="22" t="s">
        <v>11</v>
      </c>
      <c r="L16" s="20">
        <v>2.9709041095890414</v>
      </c>
      <c r="M16" s="20">
        <v>4.4017534246575369</v>
      </c>
      <c r="N16" s="20">
        <v>8.8700821917808188</v>
      </c>
    </row>
    <row r="17" spans="1:8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  <c r="H17" s="20">
        <f t="shared" si="0"/>
        <v>8</v>
      </c>
    </row>
    <row r="18" spans="1:8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  <c r="H18" s="20">
        <f t="shared" si="0"/>
        <v>8</v>
      </c>
    </row>
    <row r="19" spans="1:8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  <c r="H19" s="20">
        <f t="shared" si="0"/>
        <v>8</v>
      </c>
    </row>
    <row r="20" spans="1:8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  <c r="H20" s="20">
        <f t="shared" si="0"/>
        <v>8</v>
      </c>
    </row>
    <row r="21" spans="1:8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  <c r="H21" s="20">
        <f t="shared" si="0"/>
        <v>8</v>
      </c>
    </row>
    <row r="22" spans="1:8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  <c r="H22" s="20">
        <f t="shared" si="0"/>
        <v>8</v>
      </c>
    </row>
    <row r="23" spans="1:8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  <c r="H23" s="20">
        <f t="shared" si="0"/>
        <v>8</v>
      </c>
    </row>
    <row r="24" spans="1:8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  <c r="H24" s="20">
        <f t="shared" si="0"/>
        <v>8</v>
      </c>
    </row>
    <row r="25" spans="1:8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  <c r="H25" s="20">
        <f t="shared" si="0"/>
        <v>8</v>
      </c>
    </row>
    <row r="26" spans="1:8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  <c r="H26" s="20">
        <f t="shared" si="0"/>
        <v>8</v>
      </c>
    </row>
    <row r="27" spans="1:8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  <c r="H27" s="20">
        <f t="shared" si="0"/>
        <v>8</v>
      </c>
    </row>
    <row r="28" spans="1:8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  <c r="H28" s="20">
        <f t="shared" si="0"/>
        <v>8</v>
      </c>
    </row>
    <row r="29" spans="1:8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  <c r="H29" s="20">
        <f t="shared" si="0"/>
        <v>8</v>
      </c>
    </row>
    <row r="30" spans="1:8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  <c r="H30" s="20">
        <f t="shared" si="0"/>
        <v>8</v>
      </c>
    </row>
    <row r="31" spans="1:8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  <c r="H31" s="20">
        <f t="shared" si="0"/>
        <v>9</v>
      </c>
    </row>
    <row r="32" spans="1:8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  <c r="H32" s="20">
        <f t="shared" si="0"/>
        <v>9</v>
      </c>
    </row>
    <row r="33" spans="1:8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  <c r="H33" s="20">
        <f t="shared" si="0"/>
        <v>9</v>
      </c>
    </row>
    <row r="34" spans="1:8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  <c r="H34" s="20">
        <f t="shared" si="0"/>
        <v>9</v>
      </c>
    </row>
    <row r="35" spans="1:8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  <c r="H35" s="20">
        <f t="shared" si="0"/>
        <v>9</v>
      </c>
    </row>
    <row r="36" spans="1:8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  <c r="H36" s="20">
        <f t="shared" si="0"/>
        <v>9</v>
      </c>
    </row>
    <row r="37" spans="1:8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  <c r="H37" s="20">
        <f t="shared" si="0"/>
        <v>9</v>
      </c>
    </row>
    <row r="38" spans="1:8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  <c r="H38" s="20">
        <f t="shared" si="0"/>
        <v>9</v>
      </c>
    </row>
    <row r="39" spans="1:8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  <c r="H39" s="20">
        <f t="shared" si="0"/>
        <v>9</v>
      </c>
    </row>
    <row r="40" spans="1:8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  <c r="H40" s="20">
        <f t="shared" si="0"/>
        <v>9</v>
      </c>
    </row>
    <row r="41" spans="1:8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  <c r="H41" s="20">
        <f t="shared" si="0"/>
        <v>9</v>
      </c>
    </row>
    <row r="42" spans="1:8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  <c r="H42" s="20">
        <f t="shared" si="0"/>
        <v>9</v>
      </c>
    </row>
    <row r="43" spans="1:8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  <c r="H43" s="20">
        <f t="shared" si="0"/>
        <v>9</v>
      </c>
    </row>
    <row r="44" spans="1:8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  <c r="H44" s="20">
        <f t="shared" si="0"/>
        <v>9</v>
      </c>
    </row>
    <row r="45" spans="1:8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  <c r="H45" s="20">
        <f t="shared" si="0"/>
        <v>9</v>
      </c>
    </row>
    <row r="46" spans="1:8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  <c r="H46" s="20">
        <f t="shared" si="0"/>
        <v>9</v>
      </c>
    </row>
    <row r="47" spans="1:8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  <c r="H47" s="20">
        <f t="shared" si="0"/>
        <v>10</v>
      </c>
    </row>
    <row r="48" spans="1:8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  <c r="H48" s="20">
        <f t="shared" si="0"/>
        <v>10</v>
      </c>
    </row>
    <row r="49" spans="1:8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  <c r="H49" s="20">
        <f t="shared" si="0"/>
        <v>10</v>
      </c>
    </row>
    <row r="50" spans="1:8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  <c r="H50" s="20">
        <f t="shared" si="0"/>
        <v>10</v>
      </c>
    </row>
    <row r="51" spans="1:8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  <c r="H51" s="20">
        <f t="shared" si="0"/>
        <v>10</v>
      </c>
    </row>
    <row r="52" spans="1:8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  <c r="H52" s="20">
        <f t="shared" si="0"/>
        <v>10</v>
      </c>
    </row>
    <row r="53" spans="1:8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  <c r="H53" s="20">
        <f t="shared" si="0"/>
        <v>10</v>
      </c>
    </row>
    <row r="54" spans="1:8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  <c r="H54" s="20">
        <f t="shared" si="0"/>
        <v>10</v>
      </c>
    </row>
    <row r="55" spans="1:8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  <c r="H55" s="20">
        <f t="shared" si="0"/>
        <v>10</v>
      </c>
    </row>
    <row r="56" spans="1:8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  <c r="H56" s="20">
        <f t="shared" si="0"/>
        <v>10</v>
      </c>
    </row>
    <row r="57" spans="1:8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  <c r="H57" s="20">
        <f t="shared" si="0"/>
        <v>10</v>
      </c>
    </row>
    <row r="58" spans="1:8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  <c r="H58" s="20">
        <f t="shared" si="0"/>
        <v>10</v>
      </c>
    </row>
    <row r="59" spans="1:8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  <c r="H59" s="20">
        <f t="shared" si="0"/>
        <v>10</v>
      </c>
    </row>
    <row r="60" spans="1:8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  <c r="H60" s="20">
        <f t="shared" si="0"/>
        <v>10</v>
      </c>
    </row>
    <row r="61" spans="1:8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  <c r="H61" s="20">
        <f t="shared" si="0"/>
        <v>10</v>
      </c>
    </row>
    <row r="62" spans="1:8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  <c r="H62" s="20">
        <f t="shared" si="0"/>
        <v>11</v>
      </c>
    </row>
    <row r="63" spans="1:8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  <c r="H63" s="20">
        <f t="shared" si="0"/>
        <v>11</v>
      </c>
    </row>
    <row r="64" spans="1:8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  <c r="H64" s="20">
        <f t="shared" si="0"/>
        <v>11</v>
      </c>
    </row>
    <row r="65" spans="1:8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  <c r="H65" s="20">
        <f t="shared" si="0"/>
        <v>11</v>
      </c>
    </row>
    <row r="66" spans="1:8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  <c r="H66" s="20">
        <f t="shared" si="0"/>
        <v>11</v>
      </c>
    </row>
    <row r="67" spans="1:8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  <c r="H67" s="20">
        <f t="shared" ref="H67:H130" si="1">ROUNDDOWN((C67-B67)*24,0)</f>
        <v>11</v>
      </c>
    </row>
    <row r="68" spans="1:8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  <c r="H68" s="20">
        <f t="shared" si="1"/>
        <v>11</v>
      </c>
    </row>
    <row r="69" spans="1:8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  <c r="H69" s="20">
        <f t="shared" si="1"/>
        <v>11</v>
      </c>
    </row>
    <row r="70" spans="1:8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  <c r="H70" s="20">
        <f t="shared" si="1"/>
        <v>11</v>
      </c>
    </row>
    <row r="71" spans="1:8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  <c r="H71" s="20">
        <f t="shared" si="1"/>
        <v>11</v>
      </c>
    </row>
    <row r="72" spans="1:8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  <c r="H72" s="20">
        <f t="shared" si="1"/>
        <v>11</v>
      </c>
    </row>
    <row r="73" spans="1:8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  <c r="H73" s="20">
        <f t="shared" si="1"/>
        <v>11</v>
      </c>
    </row>
    <row r="74" spans="1:8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  <c r="H74" s="20">
        <f t="shared" si="1"/>
        <v>11</v>
      </c>
    </row>
    <row r="75" spans="1:8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  <c r="H75" s="20">
        <f t="shared" si="1"/>
        <v>11</v>
      </c>
    </row>
    <row r="76" spans="1:8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  <c r="H76" s="20">
        <f t="shared" si="1"/>
        <v>11</v>
      </c>
    </row>
    <row r="77" spans="1:8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  <c r="H77" s="20">
        <f t="shared" si="1"/>
        <v>12</v>
      </c>
    </row>
    <row r="78" spans="1:8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  <c r="H78" s="20">
        <f t="shared" si="1"/>
        <v>12</v>
      </c>
    </row>
    <row r="79" spans="1:8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  <c r="H79" s="20">
        <f t="shared" si="1"/>
        <v>12</v>
      </c>
    </row>
    <row r="80" spans="1:8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  <c r="H80" s="20">
        <f t="shared" si="1"/>
        <v>12</v>
      </c>
    </row>
    <row r="81" spans="1:8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  <c r="H81" s="20">
        <f t="shared" si="1"/>
        <v>12</v>
      </c>
    </row>
    <row r="82" spans="1:8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  <c r="H82" s="20">
        <f t="shared" si="1"/>
        <v>12</v>
      </c>
    </row>
    <row r="83" spans="1:8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  <c r="H83" s="20">
        <f t="shared" si="1"/>
        <v>12</v>
      </c>
    </row>
    <row r="84" spans="1:8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  <c r="H84" s="20">
        <f t="shared" si="1"/>
        <v>12</v>
      </c>
    </row>
    <row r="85" spans="1:8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  <c r="H85" s="20">
        <f t="shared" si="1"/>
        <v>12</v>
      </c>
    </row>
    <row r="86" spans="1:8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  <c r="H86" s="20">
        <f t="shared" si="1"/>
        <v>12</v>
      </c>
    </row>
    <row r="87" spans="1:8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  <c r="H87" s="20">
        <f t="shared" si="1"/>
        <v>12</v>
      </c>
    </row>
    <row r="88" spans="1:8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  <c r="H88" s="20">
        <f t="shared" si="1"/>
        <v>12</v>
      </c>
    </row>
    <row r="89" spans="1:8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  <c r="H89" s="20">
        <f t="shared" si="1"/>
        <v>12</v>
      </c>
    </row>
    <row r="90" spans="1:8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  <c r="H90" s="20">
        <f t="shared" si="1"/>
        <v>12</v>
      </c>
    </row>
    <row r="91" spans="1:8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  <c r="H91" s="20">
        <f t="shared" si="1"/>
        <v>12</v>
      </c>
    </row>
    <row r="92" spans="1:8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  <c r="H92" s="20">
        <f t="shared" si="1"/>
        <v>13</v>
      </c>
    </row>
    <row r="93" spans="1:8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  <c r="H93" s="20">
        <f t="shared" si="1"/>
        <v>13</v>
      </c>
    </row>
    <row r="94" spans="1:8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  <c r="H94" s="20">
        <f t="shared" si="1"/>
        <v>13</v>
      </c>
    </row>
    <row r="95" spans="1:8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  <c r="H95" s="20">
        <f t="shared" si="1"/>
        <v>13</v>
      </c>
    </row>
    <row r="96" spans="1:8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  <c r="H96" s="20">
        <f t="shared" si="1"/>
        <v>13</v>
      </c>
    </row>
    <row r="97" spans="1:8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  <c r="H97" s="20">
        <f t="shared" si="1"/>
        <v>13</v>
      </c>
    </row>
    <row r="98" spans="1:8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  <c r="H98" s="20">
        <f t="shared" si="1"/>
        <v>13</v>
      </c>
    </row>
    <row r="99" spans="1:8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  <c r="H99" s="20">
        <f t="shared" si="1"/>
        <v>13</v>
      </c>
    </row>
    <row r="100" spans="1:8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  <c r="H100" s="20">
        <f t="shared" si="1"/>
        <v>13</v>
      </c>
    </row>
    <row r="101" spans="1:8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  <c r="H101" s="20">
        <f t="shared" si="1"/>
        <v>13</v>
      </c>
    </row>
    <row r="102" spans="1:8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  <c r="H102" s="20">
        <f t="shared" si="1"/>
        <v>13</v>
      </c>
    </row>
    <row r="103" spans="1:8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  <c r="H103" s="20">
        <f t="shared" si="1"/>
        <v>13</v>
      </c>
    </row>
    <row r="104" spans="1:8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  <c r="H104" s="20">
        <f t="shared" si="1"/>
        <v>13</v>
      </c>
    </row>
    <row r="105" spans="1:8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  <c r="H105" s="20">
        <f t="shared" si="1"/>
        <v>13</v>
      </c>
    </row>
    <row r="106" spans="1:8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  <c r="H106" s="20">
        <f t="shared" si="1"/>
        <v>13</v>
      </c>
    </row>
    <row r="107" spans="1:8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  <c r="H107" s="20">
        <f t="shared" si="1"/>
        <v>14</v>
      </c>
    </row>
    <row r="108" spans="1:8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  <c r="H108" s="20">
        <f t="shared" si="1"/>
        <v>14</v>
      </c>
    </row>
    <row r="109" spans="1:8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  <c r="H109" s="20">
        <f t="shared" si="1"/>
        <v>14</v>
      </c>
    </row>
    <row r="110" spans="1:8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  <c r="H110" s="20">
        <f t="shared" si="1"/>
        <v>14</v>
      </c>
    </row>
    <row r="111" spans="1:8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  <c r="H111" s="20">
        <f t="shared" si="1"/>
        <v>14</v>
      </c>
    </row>
    <row r="112" spans="1:8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  <c r="H112" s="20">
        <f t="shared" si="1"/>
        <v>14</v>
      </c>
    </row>
    <row r="113" spans="1:8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  <c r="H113" s="20">
        <f t="shared" si="1"/>
        <v>14</v>
      </c>
    </row>
    <row r="114" spans="1:8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  <c r="H114" s="20">
        <f t="shared" si="1"/>
        <v>14</v>
      </c>
    </row>
    <row r="115" spans="1:8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  <c r="H115" s="20">
        <f t="shared" si="1"/>
        <v>14</v>
      </c>
    </row>
    <row r="116" spans="1:8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  <c r="H116" s="20">
        <f t="shared" si="1"/>
        <v>14</v>
      </c>
    </row>
    <row r="117" spans="1:8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  <c r="H117" s="20">
        <f t="shared" si="1"/>
        <v>14</v>
      </c>
    </row>
    <row r="118" spans="1:8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  <c r="H118" s="20">
        <f t="shared" si="1"/>
        <v>14</v>
      </c>
    </row>
    <row r="119" spans="1:8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  <c r="H119" s="20">
        <f t="shared" si="1"/>
        <v>14</v>
      </c>
    </row>
    <row r="120" spans="1:8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  <c r="H120" s="20">
        <f t="shared" si="1"/>
        <v>14</v>
      </c>
    </row>
    <row r="121" spans="1:8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  <c r="H121" s="20">
        <f t="shared" si="1"/>
        <v>14</v>
      </c>
    </row>
    <row r="122" spans="1:8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  <c r="H122" s="20">
        <f t="shared" si="1"/>
        <v>14</v>
      </c>
    </row>
    <row r="123" spans="1:8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  <c r="H123" s="20">
        <f t="shared" si="1"/>
        <v>15</v>
      </c>
    </row>
    <row r="124" spans="1:8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  <c r="H124" s="20">
        <f t="shared" si="1"/>
        <v>15</v>
      </c>
    </row>
    <row r="125" spans="1:8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  <c r="H125" s="20">
        <f t="shared" si="1"/>
        <v>15</v>
      </c>
    </row>
    <row r="126" spans="1:8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  <c r="H126" s="20">
        <f t="shared" si="1"/>
        <v>15</v>
      </c>
    </row>
    <row r="127" spans="1:8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  <c r="H127" s="20">
        <f t="shared" si="1"/>
        <v>15</v>
      </c>
    </row>
    <row r="128" spans="1:8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  <c r="H128" s="20">
        <f t="shared" si="1"/>
        <v>15</v>
      </c>
    </row>
    <row r="129" spans="1:8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  <c r="H129" s="20">
        <f t="shared" si="1"/>
        <v>15</v>
      </c>
    </row>
    <row r="130" spans="1:8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  <c r="H130" s="20">
        <f t="shared" si="1"/>
        <v>15</v>
      </c>
    </row>
    <row r="131" spans="1:8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  <c r="H131" s="20">
        <f t="shared" ref="H131:H194" si="2">ROUNDDOWN((C131-B131)*24,0)</f>
        <v>15</v>
      </c>
    </row>
    <row r="132" spans="1:8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  <c r="H132" s="20">
        <f t="shared" si="2"/>
        <v>15</v>
      </c>
    </row>
    <row r="133" spans="1:8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  <c r="H133" s="20">
        <f t="shared" si="2"/>
        <v>15</v>
      </c>
    </row>
    <row r="134" spans="1:8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  <c r="H134" s="20">
        <f t="shared" si="2"/>
        <v>15</v>
      </c>
    </row>
    <row r="135" spans="1:8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  <c r="H135" s="20">
        <f t="shared" si="2"/>
        <v>15</v>
      </c>
    </row>
    <row r="136" spans="1:8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  <c r="H136" s="20">
        <f t="shared" si="2"/>
        <v>15</v>
      </c>
    </row>
    <row r="137" spans="1:8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  <c r="H137" s="20">
        <f t="shared" si="2"/>
        <v>15</v>
      </c>
    </row>
    <row r="138" spans="1:8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  <c r="H138" s="20">
        <f t="shared" si="2"/>
        <v>15</v>
      </c>
    </row>
    <row r="139" spans="1:8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  <c r="H139" s="20">
        <f t="shared" si="2"/>
        <v>15</v>
      </c>
    </row>
    <row r="140" spans="1:8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  <c r="H140" s="20">
        <f t="shared" si="2"/>
        <v>15</v>
      </c>
    </row>
    <row r="141" spans="1:8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  <c r="H141" s="20">
        <f t="shared" si="2"/>
        <v>16</v>
      </c>
    </row>
    <row r="142" spans="1:8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  <c r="H142" s="20">
        <f t="shared" si="2"/>
        <v>16</v>
      </c>
    </row>
    <row r="143" spans="1:8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  <c r="H143" s="20">
        <f t="shared" si="2"/>
        <v>16</v>
      </c>
    </row>
    <row r="144" spans="1:8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  <c r="H144" s="20">
        <f t="shared" si="2"/>
        <v>16</v>
      </c>
    </row>
    <row r="145" spans="1:8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  <c r="H145" s="20">
        <f t="shared" si="2"/>
        <v>16</v>
      </c>
    </row>
    <row r="146" spans="1:8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  <c r="H146" s="20">
        <f t="shared" si="2"/>
        <v>16</v>
      </c>
    </row>
    <row r="147" spans="1:8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  <c r="H147" s="20">
        <f t="shared" si="2"/>
        <v>16</v>
      </c>
    </row>
    <row r="148" spans="1:8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  <c r="H148" s="20">
        <f t="shared" si="2"/>
        <v>16</v>
      </c>
    </row>
    <row r="149" spans="1:8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  <c r="H149" s="20">
        <f t="shared" si="2"/>
        <v>16</v>
      </c>
    </row>
    <row r="150" spans="1:8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  <c r="H150" s="20">
        <f t="shared" si="2"/>
        <v>16</v>
      </c>
    </row>
    <row r="151" spans="1:8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  <c r="H151" s="20">
        <f t="shared" si="2"/>
        <v>16</v>
      </c>
    </row>
    <row r="152" spans="1:8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  <c r="H152" s="20">
        <f t="shared" si="2"/>
        <v>16</v>
      </c>
    </row>
    <row r="153" spans="1:8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  <c r="H153" s="20">
        <f t="shared" si="2"/>
        <v>16</v>
      </c>
    </row>
    <row r="154" spans="1:8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  <c r="H154" s="20">
        <f t="shared" si="2"/>
        <v>16</v>
      </c>
    </row>
    <row r="155" spans="1:8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  <c r="H155" s="20">
        <f t="shared" si="2"/>
        <v>16</v>
      </c>
    </row>
    <row r="156" spans="1:8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  <c r="H156" s="20">
        <f t="shared" si="2"/>
        <v>16</v>
      </c>
    </row>
    <row r="157" spans="1:8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  <c r="H157" s="20">
        <f t="shared" si="2"/>
        <v>16</v>
      </c>
    </row>
    <row r="158" spans="1:8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  <c r="H158" s="20">
        <f t="shared" si="2"/>
        <v>16</v>
      </c>
    </row>
    <row r="159" spans="1:8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  <c r="H159" s="20">
        <f t="shared" si="2"/>
        <v>16</v>
      </c>
    </row>
    <row r="160" spans="1:8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  <c r="H160" s="20">
        <f t="shared" si="2"/>
        <v>16</v>
      </c>
    </row>
    <row r="161" spans="1:8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  <c r="H161" s="20">
        <f t="shared" si="2"/>
        <v>16</v>
      </c>
    </row>
    <row r="162" spans="1:8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  <c r="H162" s="20">
        <f t="shared" si="2"/>
        <v>16</v>
      </c>
    </row>
    <row r="163" spans="1:8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  <c r="H163" s="20">
        <f t="shared" si="2"/>
        <v>16</v>
      </c>
    </row>
    <row r="164" spans="1:8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  <c r="H164" s="20">
        <f t="shared" si="2"/>
        <v>16</v>
      </c>
    </row>
    <row r="165" spans="1:8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  <c r="H165" s="20">
        <f t="shared" si="2"/>
        <v>16</v>
      </c>
    </row>
    <row r="166" spans="1:8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  <c r="H166" s="20">
        <f t="shared" si="2"/>
        <v>16</v>
      </c>
    </row>
    <row r="167" spans="1:8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  <c r="H167" s="20">
        <f t="shared" si="2"/>
        <v>16</v>
      </c>
    </row>
    <row r="168" spans="1:8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  <c r="H168" s="20">
        <f t="shared" si="2"/>
        <v>16</v>
      </c>
    </row>
    <row r="169" spans="1:8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  <c r="H169" s="20">
        <f t="shared" si="2"/>
        <v>16</v>
      </c>
    </row>
    <row r="170" spans="1:8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  <c r="H170" s="20">
        <f t="shared" si="2"/>
        <v>16</v>
      </c>
    </row>
    <row r="171" spans="1:8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  <c r="H171" s="20">
        <f t="shared" si="2"/>
        <v>16</v>
      </c>
    </row>
    <row r="172" spans="1:8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  <c r="H172" s="20">
        <f t="shared" si="2"/>
        <v>16</v>
      </c>
    </row>
    <row r="173" spans="1:8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  <c r="H173" s="20">
        <f t="shared" si="2"/>
        <v>16</v>
      </c>
    </row>
    <row r="174" spans="1:8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  <c r="H174" s="20">
        <f t="shared" si="2"/>
        <v>16</v>
      </c>
    </row>
    <row r="175" spans="1:8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  <c r="H175" s="20">
        <f t="shared" si="2"/>
        <v>16</v>
      </c>
    </row>
    <row r="176" spans="1:8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  <c r="H176" s="20">
        <f t="shared" si="2"/>
        <v>16</v>
      </c>
    </row>
    <row r="177" spans="1:8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  <c r="H177" s="20">
        <f t="shared" si="2"/>
        <v>16</v>
      </c>
    </row>
    <row r="178" spans="1:8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  <c r="H178" s="20">
        <f t="shared" si="2"/>
        <v>16</v>
      </c>
    </row>
    <row r="179" spans="1:8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  <c r="H179" s="20">
        <f t="shared" si="2"/>
        <v>16</v>
      </c>
    </row>
    <row r="180" spans="1:8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  <c r="H180" s="20">
        <f t="shared" si="2"/>
        <v>16</v>
      </c>
    </row>
    <row r="181" spans="1:8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  <c r="H181" s="20">
        <f t="shared" si="2"/>
        <v>16</v>
      </c>
    </row>
    <row r="182" spans="1:8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  <c r="H182" s="20">
        <f t="shared" si="2"/>
        <v>16</v>
      </c>
    </row>
    <row r="183" spans="1:8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  <c r="H183" s="20">
        <f t="shared" si="2"/>
        <v>16</v>
      </c>
    </row>
    <row r="184" spans="1:8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  <c r="H184" s="20">
        <f t="shared" si="2"/>
        <v>16</v>
      </c>
    </row>
    <row r="185" spans="1:8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  <c r="H185" s="20">
        <f t="shared" si="2"/>
        <v>16</v>
      </c>
    </row>
    <row r="186" spans="1:8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  <c r="H186" s="20">
        <f t="shared" si="2"/>
        <v>16</v>
      </c>
    </row>
    <row r="187" spans="1:8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  <c r="H187" s="20">
        <f t="shared" si="2"/>
        <v>16</v>
      </c>
    </row>
    <row r="188" spans="1:8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  <c r="H188" s="20">
        <f t="shared" si="2"/>
        <v>16</v>
      </c>
    </row>
    <row r="189" spans="1:8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  <c r="H189" s="20">
        <f t="shared" si="2"/>
        <v>16</v>
      </c>
    </row>
    <row r="190" spans="1:8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  <c r="H190" s="20">
        <f t="shared" si="2"/>
        <v>16</v>
      </c>
    </row>
    <row r="191" spans="1:8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  <c r="H191" s="20">
        <f t="shared" si="2"/>
        <v>16</v>
      </c>
    </row>
    <row r="192" spans="1:8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  <c r="H192" s="20">
        <f t="shared" si="2"/>
        <v>16</v>
      </c>
    </row>
    <row r="193" spans="1:8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  <c r="H193" s="20">
        <f t="shared" si="2"/>
        <v>16</v>
      </c>
    </row>
    <row r="194" spans="1:8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  <c r="H194" s="20">
        <f t="shared" si="2"/>
        <v>16</v>
      </c>
    </row>
    <row r="195" spans="1:8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  <c r="H195" s="20">
        <f t="shared" ref="H195:H258" si="3">ROUNDDOWN((C195-B195)*24,0)</f>
        <v>16</v>
      </c>
    </row>
    <row r="196" spans="1:8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  <c r="H196" s="20">
        <f t="shared" si="3"/>
        <v>16</v>
      </c>
    </row>
    <row r="197" spans="1:8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  <c r="H197" s="20">
        <f t="shared" si="3"/>
        <v>16</v>
      </c>
    </row>
    <row r="198" spans="1:8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  <c r="H198" s="20">
        <f t="shared" si="3"/>
        <v>16</v>
      </c>
    </row>
    <row r="199" spans="1:8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  <c r="H199" s="20">
        <f t="shared" si="3"/>
        <v>16</v>
      </c>
    </row>
    <row r="200" spans="1:8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  <c r="H200" s="20">
        <f t="shared" si="3"/>
        <v>16</v>
      </c>
    </row>
    <row r="201" spans="1:8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  <c r="H201" s="20">
        <f t="shared" si="3"/>
        <v>16</v>
      </c>
    </row>
    <row r="202" spans="1:8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  <c r="H202" s="20">
        <f t="shared" si="3"/>
        <v>16</v>
      </c>
    </row>
    <row r="203" spans="1:8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  <c r="H203" s="20">
        <f t="shared" si="3"/>
        <v>16</v>
      </c>
    </row>
    <row r="204" spans="1:8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  <c r="H204" s="20">
        <f t="shared" si="3"/>
        <v>16</v>
      </c>
    </row>
    <row r="205" spans="1:8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  <c r="H205" s="20">
        <f t="shared" si="3"/>
        <v>16</v>
      </c>
    </row>
    <row r="206" spans="1:8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  <c r="H206" s="20">
        <f t="shared" si="3"/>
        <v>15</v>
      </c>
    </row>
    <row r="207" spans="1:8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  <c r="H207" s="20">
        <f t="shared" si="3"/>
        <v>15</v>
      </c>
    </row>
    <row r="208" spans="1:8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  <c r="H208" s="20">
        <f t="shared" si="3"/>
        <v>15</v>
      </c>
    </row>
    <row r="209" spans="1:8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  <c r="H209" s="20">
        <f t="shared" si="3"/>
        <v>15</v>
      </c>
    </row>
    <row r="210" spans="1:8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  <c r="H210" s="20">
        <f t="shared" si="3"/>
        <v>15</v>
      </c>
    </row>
    <row r="211" spans="1:8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  <c r="H211" s="20">
        <f t="shared" si="3"/>
        <v>15</v>
      </c>
    </row>
    <row r="212" spans="1:8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  <c r="H212" s="20">
        <f t="shared" si="3"/>
        <v>15</v>
      </c>
    </row>
    <row r="213" spans="1:8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  <c r="H213" s="20">
        <f t="shared" si="3"/>
        <v>15</v>
      </c>
    </row>
    <row r="214" spans="1:8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  <c r="H214" s="20">
        <f t="shared" si="3"/>
        <v>15</v>
      </c>
    </row>
    <row r="215" spans="1:8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  <c r="H215" s="20">
        <f t="shared" si="3"/>
        <v>15</v>
      </c>
    </row>
    <row r="216" spans="1:8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  <c r="H216" s="20">
        <f t="shared" si="3"/>
        <v>15</v>
      </c>
    </row>
    <row r="217" spans="1:8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  <c r="H217" s="20">
        <f t="shared" si="3"/>
        <v>15</v>
      </c>
    </row>
    <row r="218" spans="1:8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  <c r="H218" s="20">
        <f t="shared" si="3"/>
        <v>15</v>
      </c>
    </row>
    <row r="219" spans="1:8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  <c r="H219" s="20">
        <f t="shared" si="3"/>
        <v>15</v>
      </c>
    </row>
    <row r="220" spans="1:8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  <c r="H220" s="20">
        <f t="shared" si="3"/>
        <v>15</v>
      </c>
    </row>
    <row r="221" spans="1:8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  <c r="H221" s="20">
        <f t="shared" si="3"/>
        <v>15</v>
      </c>
    </row>
    <row r="222" spans="1:8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  <c r="H222" s="20">
        <f t="shared" si="3"/>
        <v>15</v>
      </c>
    </row>
    <row r="223" spans="1:8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  <c r="H223" s="20">
        <f t="shared" si="3"/>
        <v>15</v>
      </c>
    </row>
    <row r="224" spans="1:8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  <c r="H224" s="20">
        <f t="shared" si="3"/>
        <v>15</v>
      </c>
    </row>
    <row r="225" spans="1:8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  <c r="H225" s="20">
        <f t="shared" si="3"/>
        <v>14</v>
      </c>
    </row>
    <row r="226" spans="1:8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  <c r="H226" s="20">
        <f t="shared" si="3"/>
        <v>14</v>
      </c>
    </row>
    <row r="227" spans="1:8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  <c r="H227" s="20">
        <f t="shared" si="3"/>
        <v>14</v>
      </c>
    </row>
    <row r="228" spans="1:8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  <c r="H228" s="20">
        <f t="shared" si="3"/>
        <v>14</v>
      </c>
    </row>
    <row r="229" spans="1:8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  <c r="H229" s="20">
        <f t="shared" si="3"/>
        <v>14</v>
      </c>
    </row>
    <row r="230" spans="1:8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  <c r="H230" s="20">
        <f t="shared" si="3"/>
        <v>14</v>
      </c>
    </row>
    <row r="231" spans="1:8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  <c r="H231" s="20">
        <f t="shared" si="3"/>
        <v>14</v>
      </c>
    </row>
    <row r="232" spans="1:8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  <c r="H232" s="20">
        <f t="shared" si="3"/>
        <v>14</v>
      </c>
    </row>
    <row r="233" spans="1:8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  <c r="H233" s="20">
        <f t="shared" si="3"/>
        <v>14</v>
      </c>
    </row>
    <row r="234" spans="1:8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  <c r="H234" s="20">
        <f t="shared" si="3"/>
        <v>14</v>
      </c>
    </row>
    <row r="235" spans="1:8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  <c r="H235" s="20">
        <f t="shared" si="3"/>
        <v>14</v>
      </c>
    </row>
    <row r="236" spans="1:8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  <c r="H236" s="20">
        <f t="shared" si="3"/>
        <v>14</v>
      </c>
    </row>
    <row r="237" spans="1:8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  <c r="H237" s="20">
        <f t="shared" si="3"/>
        <v>14</v>
      </c>
    </row>
    <row r="238" spans="1:8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  <c r="H238" s="20">
        <f t="shared" si="3"/>
        <v>14</v>
      </c>
    </row>
    <row r="239" spans="1:8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  <c r="H239" s="20">
        <f t="shared" si="3"/>
        <v>14</v>
      </c>
    </row>
    <row r="240" spans="1:8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  <c r="H240" s="20">
        <f t="shared" si="3"/>
        <v>13</v>
      </c>
    </row>
    <row r="241" spans="1:8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  <c r="H241" s="20">
        <f t="shared" si="3"/>
        <v>13</v>
      </c>
    </row>
    <row r="242" spans="1:8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  <c r="H242" s="20">
        <f t="shared" si="3"/>
        <v>13</v>
      </c>
    </row>
    <row r="243" spans="1:8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  <c r="H243" s="20">
        <f t="shared" si="3"/>
        <v>13</v>
      </c>
    </row>
    <row r="244" spans="1:8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  <c r="H244" s="20">
        <f t="shared" si="3"/>
        <v>13</v>
      </c>
    </row>
    <row r="245" spans="1:8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  <c r="H245" s="20">
        <f t="shared" si="3"/>
        <v>13</v>
      </c>
    </row>
    <row r="246" spans="1:8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  <c r="H246" s="20">
        <f t="shared" si="3"/>
        <v>13</v>
      </c>
    </row>
    <row r="247" spans="1:8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  <c r="H247" s="20">
        <f t="shared" si="3"/>
        <v>13</v>
      </c>
    </row>
    <row r="248" spans="1:8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  <c r="H248" s="20">
        <f t="shared" si="3"/>
        <v>13</v>
      </c>
    </row>
    <row r="249" spans="1:8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  <c r="H249" s="20">
        <f t="shared" si="3"/>
        <v>13</v>
      </c>
    </row>
    <row r="250" spans="1:8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  <c r="H250" s="20">
        <f t="shared" si="3"/>
        <v>13</v>
      </c>
    </row>
    <row r="251" spans="1:8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  <c r="H251" s="20">
        <f t="shared" si="3"/>
        <v>13</v>
      </c>
    </row>
    <row r="252" spans="1:8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  <c r="H252" s="20">
        <f t="shared" si="3"/>
        <v>13</v>
      </c>
    </row>
    <row r="253" spans="1:8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  <c r="H253" s="20">
        <f t="shared" si="3"/>
        <v>13</v>
      </c>
    </row>
    <row r="254" spans="1:8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  <c r="H254" s="20">
        <f t="shared" si="3"/>
        <v>13</v>
      </c>
    </row>
    <row r="255" spans="1:8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  <c r="H255" s="20">
        <f t="shared" si="3"/>
        <v>13</v>
      </c>
    </row>
    <row r="256" spans="1:8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  <c r="H256" s="20">
        <f t="shared" si="3"/>
        <v>12</v>
      </c>
    </row>
    <row r="257" spans="1:8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  <c r="H257" s="20">
        <f t="shared" si="3"/>
        <v>12</v>
      </c>
    </row>
    <row r="258" spans="1:8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  <c r="H258" s="20">
        <f t="shared" si="3"/>
        <v>12</v>
      </c>
    </row>
    <row r="259" spans="1:8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  <c r="H259" s="20">
        <f t="shared" ref="H259:H322" si="4">ROUNDDOWN((C259-B259)*24,0)</f>
        <v>12</v>
      </c>
    </row>
    <row r="260" spans="1:8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  <c r="H260" s="20">
        <f t="shared" si="4"/>
        <v>12</v>
      </c>
    </row>
    <row r="261" spans="1:8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  <c r="H261" s="20">
        <f t="shared" si="4"/>
        <v>12</v>
      </c>
    </row>
    <row r="262" spans="1:8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  <c r="H262" s="20">
        <f t="shared" si="4"/>
        <v>12</v>
      </c>
    </row>
    <row r="263" spans="1:8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  <c r="H263" s="20">
        <f t="shared" si="4"/>
        <v>12</v>
      </c>
    </row>
    <row r="264" spans="1:8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  <c r="H264" s="20">
        <f t="shared" si="4"/>
        <v>12</v>
      </c>
    </row>
    <row r="265" spans="1:8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  <c r="H265" s="20">
        <f t="shared" si="4"/>
        <v>12</v>
      </c>
    </row>
    <row r="266" spans="1:8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  <c r="H266" s="20">
        <f t="shared" si="4"/>
        <v>12</v>
      </c>
    </row>
    <row r="267" spans="1:8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  <c r="H267" s="20">
        <f t="shared" si="4"/>
        <v>12</v>
      </c>
    </row>
    <row r="268" spans="1:8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  <c r="H268" s="20">
        <f t="shared" si="4"/>
        <v>12</v>
      </c>
    </row>
    <row r="269" spans="1:8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  <c r="H269" s="20">
        <f t="shared" si="4"/>
        <v>12</v>
      </c>
    </row>
    <row r="270" spans="1:8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  <c r="H270" s="20">
        <f t="shared" si="4"/>
        <v>12</v>
      </c>
    </row>
    <row r="271" spans="1:8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  <c r="H271" s="20">
        <f t="shared" si="4"/>
        <v>11</v>
      </c>
    </row>
    <row r="272" spans="1:8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  <c r="H272" s="20">
        <f t="shared" si="4"/>
        <v>11</v>
      </c>
    </row>
    <row r="273" spans="1:8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  <c r="H273" s="20">
        <f t="shared" si="4"/>
        <v>11</v>
      </c>
    </row>
    <row r="274" spans="1:8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  <c r="H274" s="20">
        <f t="shared" si="4"/>
        <v>11</v>
      </c>
    </row>
    <row r="275" spans="1:8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  <c r="H275" s="20">
        <f t="shared" si="4"/>
        <v>11</v>
      </c>
    </row>
    <row r="276" spans="1:8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  <c r="H276" s="20">
        <f t="shared" si="4"/>
        <v>11</v>
      </c>
    </row>
    <row r="277" spans="1:8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  <c r="H277" s="20">
        <f t="shared" si="4"/>
        <v>11</v>
      </c>
    </row>
    <row r="278" spans="1:8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  <c r="H278" s="20">
        <f t="shared" si="4"/>
        <v>11</v>
      </c>
    </row>
    <row r="279" spans="1:8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  <c r="H279" s="20">
        <f t="shared" si="4"/>
        <v>11</v>
      </c>
    </row>
    <row r="280" spans="1:8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  <c r="H280" s="20">
        <f t="shared" si="4"/>
        <v>11</v>
      </c>
    </row>
    <row r="281" spans="1:8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  <c r="H281" s="20">
        <f t="shared" si="4"/>
        <v>11</v>
      </c>
    </row>
    <row r="282" spans="1:8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  <c r="H282" s="20">
        <f t="shared" si="4"/>
        <v>11</v>
      </c>
    </row>
    <row r="283" spans="1:8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  <c r="H283" s="20">
        <f t="shared" si="4"/>
        <v>11</v>
      </c>
    </row>
    <row r="284" spans="1:8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  <c r="H284" s="20">
        <f t="shared" si="4"/>
        <v>11</v>
      </c>
    </row>
    <row r="285" spans="1:8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  <c r="H285" s="20">
        <f t="shared" si="4"/>
        <v>11</v>
      </c>
    </row>
    <row r="286" spans="1:8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  <c r="H286" s="20">
        <f t="shared" si="4"/>
        <v>10</v>
      </c>
    </row>
    <row r="287" spans="1:8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  <c r="H287" s="20">
        <f t="shared" si="4"/>
        <v>10</v>
      </c>
    </row>
    <row r="288" spans="1:8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  <c r="H288" s="20">
        <f t="shared" si="4"/>
        <v>10</v>
      </c>
    </row>
    <row r="289" spans="1:8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  <c r="H289" s="20">
        <f t="shared" si="4"/>
        <v>10</v>
      </c>
    </row>
    <row r="290" spans="1:8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  <c r="H290" s="20">
        <f t="shared" si="4"/>
        <v>10</v>
      </c>
    </row>
    <row r="291" spans="1:8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  <c r="H291" s="20">
        <f t="shared" si="4"/>
        <v>10</v>
      </c>
    </row>
    <row r="292" spans="1:8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  <c r="H292" s="20">
        <f t="shared" si="4"/>
        <v>10</v>
      </c>
    </row>
    <row r="293" spans="1:8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  <c r="H293" s="20">
        <f t="shared" si="4"/>
        <v>10</v>
      </c>
    </row>
    <row r="294" spans="1:8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  <c r="H294" s="20">
        <f t="shared" si="4"/>
        <v>10</v>
      </c>
    </row>
    <row r="295" spans="1:8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  <c r="H295" s="20">
        <f t="shared" si="4"/>
        <v>10</v>
      </c>
    </row>
    <row r="296" spans="1:8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  <c r="H296" s="20">
        <f t="shared" si="4"/>
        <v>10</v>
      </c>
    </row>
    <row r="297" spans="1:8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  <c r="H297" s="20">
        <f t="shared" si="4"/>
        <v>10</v>
      </c>
    </row>
    <row r="298" spans="1:8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  <c r="H298" s="20">
        <f t="shared" si="4"/>
        <v>10</v>
      </c>
    </row>
    <row r="299" spans="1:8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  <c r="H299" s="20">
        <f t="shared" si="4"/>
        <v>10</v>
      </c>
    </row>
    <row r="300" spans="1:8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  <c r="H300" s="20">
        <f t="shared" si="4"/>
        <v>10</v>
      </c>
    </row>
    <row r="301" spans="1:8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  <c r="H301" s="20">
        <f t="shared" si="4"/>
        <v>9</v>
      </c>
    </row>
    <row r="302" spans="1:8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  <c r="H302" s="20">
        <f t="shared" si="4"/>
        <v>9</v>
      </c>
    </row>
    <row r="303" spans="1:8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  <c r="H303" s="20">
        <f t="shared" si="4"/>
        <v>9</v>
      </c>
    </row>
    <row r="304" spans="1:8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  <c r="H304" s="20">
        <f t="shared" si="4"/>
        <v>9</v>
      </c>
    </row>
    <row r="305" spans="1:8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  <c r="H305" s="20">
        <f t="shared" si="4"/>
        <v>9</v>
      </c>
    </row>
    <row r="306" spans="1:8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  <c r="H306" s="20">
        <f t="shared" si="4"/>
        <v>9</v>
      </c>
    </row>
    <row r="307" spans="1:8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  <c r="H307" s="20">
        <f t="shared" si="4"/>
        <v>9</v>
      </c>
    </row>
    <row r="308" spans="1:8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  <c r="H308" s="20">
        <f t="shared" si="4"/>
        <v>9</v>
      </c>
    </row>
    <row r="309" spans="1:8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  <c r="H309" s="20">
        <f t="shared" si="4"/>
        <v>9</v>
      </c>
    </row>
    <row r="310" spans="1:8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  <c r="H310" s="20">
        <f t="shared" si="4"/>
        <v>9</v>
      </c>
    </row>
    <row r="311" spans="1:8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  <c r="H311" s="20">
        <f t="shared" si="4"/>
        <v>9</v>
      </c>
    </row>
    <row r="312" spans="1:8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  <c r="H312" s="20">
        <f t="shared" si="4"/>
        <v>9</v>
      </c>
    </row>
    <row r="313" spans="1:8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  <c r="H313" s="20">
        <f t="shared" si="4"/>
        <v>9</v>
      </c>
    </row>
    <row r="314" spans="1:8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  <c r="H314" s="20">
        <f t="shared" si="4"/>
        <v>9</v>
      </c>
    </row>
    <row r="315" spans="1:8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  <c r="H315" s="20">
        <f t="shared" si="4"/>
        <v>9</v>
      </c>
    </row>
    <row r="316" spans="1:8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  <c r="H316" s="20">
        <f t="shared" si="4"/>
        <v>9</v>
      </c>
    </row>
    <row r="317" spans="1:8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  <c r="H317" s="20">
        <f t="shared" si="4"/>
        <v>9</v>
      </c>
    </row>
    <row r="318" spans="1:8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  <c r="H318" s="20">
        <f t="shared" si="4"/>
        <v>8</v>
      </c>
    </row>
    <row r="319" spans="1:8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  <c r="H319" s="20">
        <f t="shared" si="4"/>
        <v>8</v>
      </c>
    </row>
    <row r="320" spans="1:8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  <c r="H320" s="20">
        <f t="shared" si="4"/>
        <v>8</v>
      </c>
    </row>
    <row r="321" spans="1:8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  <c r="H321" s="20">
        <f t="shared" si="4"/>
        <v>8</v>
      </c>
    </row>
    <row r="322" spans="1:8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  <c r="H322" s="20">
        <f t="shared" si="4"/>
        <v>8</v>
      </c>
    </row>
    <row r="323" spans="1:8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  <c r="H323" s="20">
        <f t="shared" ref="H323:H366" si="5">ROUNDDOWN((C323-B323)*24,0)</f>
        <v>8</v>
      </c>
    </row>
    <row r="324" spans="1:8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  <c r="H324" s="20">
        <f t="shared" si="5"/>
        <v>8</v>
      </c>
    </row>
    <row r="325" spans="1:8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  <c r="H325" s="20">
        <f t="shared" si="5"/>
        <v>8</v>
      </c>
    </row>
    <row r="326" spans="1:8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  <c r="H326" s="20">
        <f t="shared" si="5"/>
        <v>8</v>
      </c>
    </row>
    <row r="327" spans="1:8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  <c r="H327" s="20">
        <f t="shared" si="5"/>
        <v>8</v>
      </c>
    </row>
    <row r="328" spans="1:8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  <c r="H328" s="20">
        <f t="shared" si="5"/>
        <v>8</v>
      </c>
    </row>
    <row r="329" spans="1:8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  <c r="H329" s="20">
        <f t="shared" si="5"/>
        <v>8</v>
      </c>
    </row>
    <row r="330" spans="1:8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  <c r="H330" s="20">
        <f t="shared" si="5"/>
        <v>8</v>
      </c>
    </row>
    <row r="331" spans="1:8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  <c r="H331" s="20">
        <f t="shared" si="5"/>
        <v>8</v>
      </c>
    </row>
    <row r="332" spans="1:8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  <c r="H332" s="20">
        <f t="shared" si="5"/>
        <v>8</v>
      </c>
    </row>
    <row r="333" spans="1:8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  <c r="H333" s="20">
        <f t="shared" si="5"/>
        <v>8</v>
      </c>
    </row>
    <row r="334" spans="1:8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  <c r="H334" s="20">
        <f t="shared" si="5"/>
        <v>8</v>
      </c>
    </row>
    <row r="335" spans="1:8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  <c r="H335" s="20">
        <f t="shared" si="5"/>
        <v>8</v>
      </c>
    </row>
    <row r="336" spans="1:8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  <c r="H336" s="20">
        <f t="shared" si="5"/>
        <v>8</v>
      </c>
    </row>
    <row r="337" spans="1:8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  <c r="H337" s="20">
        <f t="shared" si="5"/>
        <v>8</v>
      </c>
    </row>
    <row r="338" spans="1:8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  <c r="H338" s="20">
        <f t="shared" si="5"/>
        <v>8</v>
      </c>
    </row>
    <row r="339" spans="1:8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  <c r="H339" s="20">
        <f t="shared" si="5"/>
        <v>8</v>
      </c>
    </row>
    <row r="340" spans="1:8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  <c r="H340" s="20">
        <f t="shared" si="5"/>
        <v>8</v>
      </c>
    </row>
    <row r="341" spans="1:8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  <c r="H341" s="20">
        <f t="shared" si="5"/>
        <v>7</v>
      </c>
    </row>
    <row r="342" spans="1:8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  <c r="H342" s="20">
        <f t="shared" si="5"/>
        <v>7</v>
      </c>
    </row>
    <row r="343" spans="1:8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  <c r="H343" s="20">
        <f t="shared" si="5"/>
        <v>7</v>
      </c>
    </row>
    <row r="344" spans="1:8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  <c r="H344" s="20">
        <f t="shared" si="5"/>
        <v>7</v>
      </c>
    </row>
    <row r="345" spans="1:8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  <c r="H345" s="20">
        <f t="shared" si="5"/>
        <v>7</v>
      </c>
    </row>
    <row r="346" spans="1:8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  <c r="H346" s="20">
        <f t="shared" si="5"/>
        <v>7</v>
      </c>
    </row>
    <row r="347" spans="1:8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  <c r="H347" s="20">
        <f t="shared" si="5"/>
        <v>7</v>
      </c>
    </row>
    <row r="348" spans="1:8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  <c r="H348" s="20">
        <f t="shared" si="5"/>
        <v>7</v>
      </c>
    </row>
    <row r="349" spans="1:8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  <c r="H349" s="20">
        <f t="shared" si="5"/>
        <v>7</v>
      </c>
    </row>
    <row r="350" spans="1:8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  <c r="H350" s="20">
        <f t="shared" si="5"/>
        <v>7</v>
      </c>
    </row>
    <row r="351" spans="1:8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  <c r="H351" s="20">
        <f t="shared" si="5"/>
        <v>7</v>
      </c>
    </row>
    <row r="352" spans="1:8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  <c r="H352" s="20">
        <f t="shared" si="5"/>
        <v>7</v>
      </c>
    </row>
    <row r="353" spans="1:8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  <c r="H353" s="20">
        <f t="shared" si="5"/>
        <v>7</v>
      </c>
    </row>
    <row r="354" spans="1:8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  <c r="H354" s="20">
        <f t="shared" si="5"/>
        <v>7</v>
      </c>
    </row>
    <row r="355" spans="1:8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  <c r="H355" s="20">
        <f t="shared" si="5"/>
        <v>7</v>
      </c>
    </row>
    <row r="356" spans="1:8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  <c r="H356" s="20">
        <f t="shared" si="5"/>
        <v>7</v>
      </c>
    </row>
    <row r="357" spans="1:8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  <c r="H357" s="20">
        <f t="shared" si="5"/>
        <v>7</v>
      </c>
    </row>
    <row r="358" spans="1:8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  <c r="H358" s="20">
        <f t="shared" si="5"/>
        <v>7</v>
      </c>
    </row>
    <row r="359" spans="1:8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  <c r="H359" s="20">
        <f t="shared" si="5"/>
        <v>7</v>
      </c>
    </row>
    <row r="360" spans="1:8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  <c r="H360" s="20">
        <f t="shared" si="5"/>
        <v>7</v>
      </c>
    </row>
    <row r="361" spans="1:8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  <c r="H361" s="20">
        <f t="shared" si="5"/>
        <v>7</v>
      </c>
    </row>
    <row r="362" spans="1:8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  <c r="H362" s="20">
        <f t="shared" si="5"/>
        <v>7</v>
      </c>
    </row>
    <row r="363" spans="1:8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  <c r="H363" s="20">
        <f t="shared" si="5"/>
        <v>7</v>
      </c>
    </row>
    <row r="364" spans="1:8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  <c r="H364" s="20">
        <f t="shared" si="5"/>
        <v>7</v>
      </c>
    </row>
    <row r="365" spans="1:8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  <c r="H365" s="20">
        <f t="shared" si="5"/>
        <v>7</v>
      </c>
    </row>
    <row r="366" spans="1:8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  <c r="H366" s="20">
        <f t="shared" si="5"/>
        <v>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69F0-7AAF-446D-8636-E66C9D5A8DB1}">
  <dimension ref="A1:K366"/>
  <sheetViews>
    <sheetView tabSelected="1" topLeftCell="A337" workbookViewId="0">
      <selection activeCell="I2" sqref="I2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  <col min="8" max="8" width="11.28515625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8" t="s">
        <v>15</v>
      </c>
      <c r="I1" s="18">
        <v>67</v>
      </c>
      <c r="J1" s="18" t="s">
        <v>16</v>
      </c>
      <c r="K1" s="18" t="s">
        <v>17</v>
      </c>
    </row>
    <row r="2" spans="1:11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  <c r="H2" s="23">
        <f>G2+E2-F2</f>
        <v>9.0500000000000007</v>
      </c>
      <c r="I2">
        <f>I1+F2*0.8-G2</f>
        <v>65.072000000000003</v>
      </c>
      <c r="J2">
        <f>IF(I2&lt;50,1,0)</f>
        <v>0</v>
      </c>
      <c r="K2">
        <f>IF(I2&lt;0,1,0)</f>
        <v>0</v>
      </c>
    </row>
    <row r="3" spans="1:11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  <c r="H3" s="23">
        <f t="shared" ref="H3:H66" si="0">G3+E3-F3</f>
        <v>7.23</v>
      </c>
      <c r="I3">
        <f>I2+F3*0.8-G3</f>
        <v>62.065999999999995</v>
      </c>
      <c r="J3">
        <f t="shared" ref="J3:J66" si="1">IF(I3&lt;50,1,0)</f>
        <v>0</v>
      </c>
      <c r="K3">
        <f t="shared" ref="K3:K66" si="2">IF(I3&lt;0,1,0)</f>
        <v>0</v>
      </c>
    </row>
    <row r="4" spans="1:11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  <c r="H4" s="23">
        <f t="shared" si="0"/>
        <v>3.84</v>
      </c>
      <c r="I4">
        <f t="shared" ref="I4:I67" si="3">I3+F4*0.8-G4</f>
        <v>63.297999999999988</v>
      </c>
      <c r="J4">
        <f t="shared" si="1"/>
        <v>0</v>
      </c>
      <c r="K4">
        <f t="shared" si="2"/>
        <v>0</v>
      </c>
    </row>
    <row r="5" spans="1:11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  <c r="H5" s="23">
        <f t="shared" si="0"/>
        <v>6.63</v>
      </c>
      <c r="I5">
        <f t="shared" si="3"/>
        <v>59.053999999999988</v>
      </c>
      <c r="J5">
        <f t="shared" si="1"/>
        <v>0</v>
      </c>
      <c r="K5">
        <f t="shared" si="2"/>
        <v>0</v>
      </c>
    </row>
    <row r="6" spans="1:11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  <c r="H6" s="23">
        <f t="shared" si="0"/>
        <v>6.5300000000000011</v>
      </c>
      <c r="I6">
        <f t="shared" si="3"/>
        <v>59.377999999999986</v>
      </c>
      <c r="J6">
        <f t="shared" si="1"/>
        <v>0</v>
      </c>
      <c r="K6">
        <f t="shared" si="2"/>
        <v>0</v>
      </c>
    </row>
    <row r="7" spans="1:11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  <c r="H7" s="23">
        <f t="shared" si="0"/>
        <v>3.9800000000000004</v>
      </c>
      <c r="I7">
        <f t="shared" si="3"/>
        <v>59.399999999999984</v>
      </c>
      <c r="J7">
        <f t="shared" si="1"/>
        <v>0</v>
      </c>
      <c r="K7">
        <f t="shared" si="2"/>
        <v>0</v>
      </c>
    </row>
    <row r="8" spans="1:11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  <c r="H8" s="23">
        <f t="shared" si="0"/>
        <v>7.7900000000000009</v>
      </c>
      <c r="I8">
        <f t="shared" si="3"/>
        <v>59.051999999999985</v>
      </c>
      <c r="J8">
        <f t="shared" si="1"/>
        <v>0</v>
      </c>
      <c r="K8">
        <f t="shared" si="2"/>
        <v>0</v>
      </c>
    </row>
    <row r="9" spans="1:11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  <c r="H9" s="23">
        <f t="shared" si="0"/>
        <v>7.1300000000000008</v>
      </c>
      <c r="I9">
        <f t="shared" si="3"/>
        <v>58.645999999999987</v>
      </c>
      <c r="J9">
        <f t="shared" si="1"/>
        <v>0</v>
      </c>
      <c r="K9">
        <f t="shared" si="2"/>
        <v>0</v>
      </c>
    </row>
    <row r="10" spans="1:11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  <c r="H10" s="23">
        <f t="shared" si="0"/>
        <v>7.17</v>
      </c>
      <c r="I10">
        <f t="shared" si="3"/>
        <v>58.887999999999984</v>
      </c>
      <c r="J10">
        <f t="shared" si="1"/>
        <v>0</v>
      </c>
      <c r="K10">
        <f t="shared" si="2"/>
        <v>0</v>
      </c>
    </row>
    <row r="11" spans="1:11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  <c r="H11" s="23">
        <f t="shared" si="0"/>
        <v>3.7299999999999995</v>
      </c>
      <c r="I11">
        <f t="shared" si="3"/>
        <v>57.335999999999984</v>
      </c>
      <c r="J11">
        <f t="shared" si="1"/>
        <v>0</v>
      </c>
      <c r="K11">
        <f t="shared" si="2"/>
        <v>0</v>
      </c>
    </row>
    <row r="12" spans="1:11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  <c r="H12" s="23">
        <f t="shared" si="0"/>
        <v>4.3199999999999994</v>
      </c>
      <c r="I12">
        <f t="shared" si="3"/>
        <v>54.485999999999983</v>
      </c>
      <c r="J12">
        <f t="shared" si="1"/>
        <v>0</v>
      </c>
      <c r="K12">
        <f t="shared" si="2"/>
        <v>0</v>
      </c>
    </row>
    <row r="13" spans="1:11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  <c r="H13" s="23">
        <f t="shared" si="0"/>
        <v>4.3899999999999997</v>
      </c>
      <c r="I13">
        <f t="shared" si="3"/>
        <v>51.321999999999989</v>
      </c>
      <c r="J13">
        <f t="shared" si="1"/>
        <v>0</v>
      </c>
      <c r="K13">
        <f t="shared" si="2"/>
        <v>0</v>
      </c>
    </row>
    <row r="14" spans="1:11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  <c r="H14" s="23">
        <f t="shared" si="0"/>
        <v>7.42</v>
      </c>
      <c r="I14">
        <f t="shared" si="3"/>
        <v>51.837999999999994</v>
      </c>
      <c r="J14">
        <f t="shared" si="1"/>
        <v>0</v>
      </c>
      <c r="K14">
        <f t="shared" si="2"/>
        <v>0</v>
      </c>
    </row>
    <row r="15" spans="1:11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  <c r="H15" s="23">
        <f t="shared" si="0"/>
        <v>7.6999999999999993</v>
      </c>
      <c r="I15">
        <f t="shared" si="3"/>
        <v>51.053999999999995</v>
      </c>
      <c r="J15">
        <f t="shared" si="1"/>
        <v>0</v>
      </c>
      <c r="K15">
        <f t="shared" si="2"/>
        <v>0</v>
      </c>
    </row>
    <row r="16" spans="1:11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  <c r="H16" s="23">
        <f t="shared" si="0"/>
        <v>3.87</v>
      </c>
      <c r="I16">
        <f t="shared" si="3"/>
        <v>49.203999999999994</v>
      </c>
      <c r="J16">
        <f t="shared" si="1"/>
        <v>1</v>
      </c>
      <c r="K16">
        <f t="shared" si="2"/>
        <v>0</v>
      </c>
    </row>
    <row r="17" spans="1:11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  <c r="H17" s="23">
        <f t="shared" si="0"/>
        <v>3.0799999999999992</v>
      </c>
      <c r="I17">
        <f t="shared" si="3"/>
        <v>50.743999999999993</v>
      </c>
      <c r="J17">
        <f t="shared" si="1"/>
        <v>0</v>
      </c>
      <c r="K17">
        <f t="shared" si="2"/>
        <v>0</v>
      </c>
    </row>
    <row r="18" spans="1:11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  <c r="H18" s="23">
        <f t="shared" si="0"/>
        <v>8.02</v>
      </c>
      <c r="I18">
        <f t="shared" si="3"/>
        <v>48.403999999999996</v>
      </c>
      <c r="J18">
        <f t="shared" si="1"/>
        <v>1</v>
      </c>
      <c r="K18">
        <f t="shared" si="2"/>
        <v>0</v>
      </c>
    </row>
    <row r="19" spans="1:11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  <c r="H19" s="23">
        <f t="shared" si="0"/>
        <v>5.2</v>
      </c>
      <c r="I19">
        <f t="shared" si="3"/>
        <v>45.351999999999997</v>
      </c>
      <c r="J19">
        <f t="shared" si="1"/>
        <v>1</v>
      </c>
      <c r="K19">
        <f t="shared" si="2"/>
        <v>0</v>
      </c>
    </row>
    <row r="20" spans="1:11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  <c r="H20" s="23">
        <f t="shared" si="0"/>
        <v>4.4399999999999995</v>
      </c>
      <c r="I20">
        <f t="shared" si="3"/>
        <v>44.373999999999995</v>
      </c>
      <c r="J20">
        <f t="shared" si="1"/>
        <v>1</v>
      </c>
      <c r="K20">
        <f t="shared" si="2"/>
        <v>0</v>
      </c>
    </row>
    <row r="21" spans="1:11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  <c r="H21" s="23">
        <f t="shared" si="0"/>
        <v>3.55</v>
      </c>
      <c r="I21">
        <f t="shared" si="3"/>
        <v>44.955999999999996</v>
      </c>
      <c r="J21">
        <f t="shared" si="1"/>
        <v>1</v>
      </c>
      <c r="K21">
        <f t="shared" si="2"/>
        <v>0</v>
      </c>
    </row>
    <row r="22" spans="1:11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  <c r="H22" s="23">
        <f t="shared" si="0"/>
        <v>4.92</v>
      </c>
      <c r="I22">
        <f t="shared" si="3"/>
        <v>42.361999999999995</v>
      </c>
      <c r="J22">
        <f t="shared" si="1"/>
        <v>1</v>
      </c>
      <c r="K22">
        <f t="shared" si="2"/>
        <v>0</v>
      </c>
    </row>
    <row r="23" spans="1:11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  <c r="H23" s="23">
        <f t="shared" si="0"/>
        <v>4.6499999999999995</v>
      </c>
      <c r="I23">
        <f t="shared" si="3"/>
        <v>40.765999999999998</v>
      </c>
      <c r="J23">
        <f t="shared" si="1"/>
        <v>1</v>
      </c>
      <c r="K23">
        <f t="shared" si="2"/>
        <v>0</v>
      </c>
    </row>
    <row r="24" spans="1:11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  <c r="H24" s="23">
        <f t="shared" si="0"/>
        <v>3.0199999999999996</v>
      </c>
      <c r="I24">
        <f t="shared" si="3"/>
        <v>41.363999999999997</v>
      </c>
      <c r="J24">
        <f t="shared" si="1"/>
        <v>1</v>
      </c>
      <c r="K24">
        <f t="shared" si="2"/>
        <v>0</v>
      </c>
    </row>
    <row r="25" spans="1:11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  <c r="H25" s="23">
        <f t="shared" si="0"/>
        <v>4.0600000000000005</v>
      </c>
      <c r="I25">
        <f t="shared" si="3"/>
        <v>41.285999999999994</v>
      </c>
      <c r="J25">
        <f t="shared" si="1"/>
        <v>1</v>
      </c>
      <c r="K25">
        <f t="shared" si="2"/>
        <v>0</v>
      </c>
    </row>
    <row r="26" spans="1:11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  <c r="H26" s="23">
        <f t="shared" si="0"/>
        <v>4.5199999999999996</v>
      </c>
      <c r="I26">
        <f t="shared" si="3"/>
        <v>41.843999999999994</v>
      </c>
      <c r="J26">
        <f t="shared" si="1"/>
        <v>1</v>
      </c>
      <c r="K26">
        <f t="shared" si="2"/>
        <v>0</v>
      </c>
    </row>
    <row r="27" spans="1:11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  <c r="H27" s="23">
        <f t="shared" si="0"/>
        <v>4.4400000000000013</v>
      </c>
      <c r="I27">
        <f t="shared" si="3"/>
        <v>42.109999999999992</v>
      </c>
      <c r="J27">
        <f t="shared" si="1"/>
        <v>1</v>
      </c>
      <c r="K27">
        <f t="shared" si="2"/>
        <v>0</v>
      </c>
    </row>
    <row r="28" spans="1:11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  <c r="H28" s="23">
        <f t="shared" si="0"/>
        <v>5.0599999999999996</v>
      </c>
      <c r="I28">
        <f t="shared" si="3"/>
        <v>41.635999999999996</v>
      </c>
      <c r="J28">
        <f t="shared" si="1"/>
        <v>1</v>
      </c>
      <c r="K28">
        <f t="shared" si="2"/>
        <v>0</v>
      </c>
    </row>
    <row r="29" spans="1:11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  <c r="H29" s="23">
        <f t="shared" si="0"/>
        <v>3.4699999999999998</v>
      </c>
      <c r="I29">
        <f t="shared" si="3"/>
        <v>43.193999999999996</v>
      </c>
      <c r="J29">
        <f t="shared" si="1"/>
        <v>1</v>
      </c>
      <c r="K29">
        <f t="shared" si="2"/>
        <v>0</v>
      </c>
    </row>
    <row r="30" spans="1:11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  <c r="H30" s="23">
        <f t="shared" si="0"/>
        <v>4.4399999999999995</v>
      </c>
      <c r="I30">
        <f t="shared" si="3"/>
        <v>43.847999999999999</v>
      </c>
      <c r="J30">
        <f t="shared" si="1"/>
        <v>1</v>
      </c>
      <c r="K30">
        <f t="shared" si="2"/>
        <v>0</v>
      </c>
    </row>
    <row r="31" spans="1:11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  <c r="H31" s="23">
        <f t="shared" si="0"/>
        <v>4.42</v>
      </c>
      <c r="I31">
        <f t="shared" si="3"/>
        <v>44.701999999999998</v>
      </c>
      <c r="J31">
        <f t="shared" si="1"/>
        <v>1</v>
      </c>
      <c r="K31">
        <f t="shared" si="2"/>
        <v>0</v>
      </c>
    </row>
    <row r="32" spans="1:11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  <c r="H32" s="23">
        <f t="shared" si="0"/>
        <v>4.6099999999999994</v>
      </c>
      <c r="I32">
        <f t="shared" si="3"/>
        <v>45.634</v>
      </c>
      <c r="J32">
        <f t="shared" si="1"/>
        <v>1</v>
      </c>
      <c r="K32">
        <f t="shared" si="2"/>
        <v>0</v>
      </c>
    </row>
    <row r="33" spans="1:11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  <c r="H33" s="23">
        <f t="shared" si="0"/>
        <v>6.12</v>
      </c>
      <c r="I33">
        <f t="shared" si="3"/>
        <v>45.426000000000002</v>
      </c>
      <c r="J33">
        <f t="shared" si="1"/>
        <v>1</v>
      </c>
      <c r="K33">
        <f t="shared" si="2"/>
        <v>0</v>
      </c>
    </row>
    <row r="34" spans="1:11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  <c r="H34" s="23">
        <f t="shared" si="0"/>
        <v>6.6899999999999995</v>
      </c>
      <c r="I34">
        <f t="shared" si="3"/>
        <v>45.672000000000004</v>
      </c>
      <c r="J34">
        <f t="shared" si="1"/>
        <v>1</v>
      </c>
      <c r="K34">
        <f t="shared" si="2"/>
        <v>0</v>
      </c>
    </row>
    <row r="35" spans="1:11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  <c r="H35" s="23">
        <f t="shared" si="0"/>
        <v>4.67</v>
      </c>
      <c r="I35">
        <f t="shared" si="3"/>
        <v>44.39</v>
      </c>
      <c r="J35">
        <f t="shared" si="1"/>
        <v>1</v>
      </c>
      <c r="K35">
        <f t="shared" si="2"/>
        <v>0</v>
      </c>
    </row>
    <row r="36" spans="1:11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  <c r="H36" s="23">
        <f t="shared" si="0"/>
        <v>7.4</v>
      </c>
      <c r="I36">
        <f t="shared" si="3"/>
        <v>44.122</v>
      </c>
      <c r="J36">
        <f t="shared" si="1"/>
        <v>1</v>
      </c>
      <c r="K36">
        <f t="shared" si="2"/>
        <v>0</v>
      </c>
    </row>
    <row r="37" spans="1:11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  <c r="H37" s="23">
        <f t="shared" si="0"/>
        <v>5.9899999999999993</v>
      </c>
      <c r="I37">
        <f t="shared" si="3"/>
        <v>42.725999999999999</v>
      </c>
      <c r="J37">
        <f t="shared" si="1"/>
        <v>1</v>
      </c>
      <c r="K37">
        <f t="shared" si="2"/>
        <v>0</v>
      </c>
    </row>
    <row r="38" spans="1:11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  <c r="H38" s="23">
        <f t="shared" si="0"/>
        <v>7.32</v>
      </c>
      <c r="I38">
        <f t="shared" si="3"/>
        <v>41.697999999999993</v>
      </c>
      <c r="J38">
        <f t="shared" si="1"/>
        <v>1</v>
      </c>
      <c r="K38">
        <f t="shared" si="2"/>
        <v>0</v>
      </c>
    </row>
    <row r="39" spans="1:11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  <c r="H39" s="23">
        <f t="shared" si="0"/>
        <v>7.8099999999999987</v>
      </c>
      <c r="I39">
        <f t="shared" si="3"/>
        <v>40.965999999999994</v>
      </c>
      <c r="J39">
        <f t="shared" si="1"/>
        <v>1</v>
      </c>
      <c r="K39">
        <f t="shared" si="2"/>
        <v>0</v>
      </c>
    </row>
    <row r="40" spans="1:11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  <c r="H40" s="23">
        <f t="shared" si="0"/>
        <v>7.3999999999999995</v>
      </c>
      <c r="I40">
        <f t="shared" si="3"/>
        <v>40.879999999999995</v>
      </c>
      <c r="J40">
        <f t="shared" si="1"/>
        <v>1</v>
      </c>
      <c r="K40">
        <f t="shared" si="2"/>
        <v>0</v>
      </c>
    </row>
    <row r="41" spans="1:11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  <c r="H41" s="23">
        <f t="shared" si="0"/>
        <v>4.9000000000000004</v>
      </c>
      <c r="I41">
        <f t="shared" si="3"/>
        <v>38.68399999999999</v>
      </c>
      <c r="J41">
        <f t="shared" si="1"/>
        <v>1</v>
      </c>
      <c r="K41">
        <f t="shared" si="2"/>
        <v>0</v>
      </c>
    </row>
    <row r="42" spans="1:11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  <c r="H42" s="23">
        <f t="shared" si="0"/>
        <v>3.08</v>
      </c>
      <c r="I42">
        <f t="shared" si="3"/>
        <v>36.783999999999992</v>
      </c>
      <c r="J42">
        <f t="shared" si="1"/>
        <v>1</v>
      </c>
      <c r="K42">
        <f t="shared" si="2"/>
        <v>0</v>
      </c>
    </row>
    <row r="43" spans="1:11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  <c r="H43" s="23">
        <f t="shared" si="0"/>
        <v>5.12</v>
      </c>
      <c r="I43">
        <f t="shared" si="3"/>
        <v>31.923999999999992</v>
      </c>
      <c r="J43">
        <f t="shared" si="1"/>
        <v>1</v>
      </c>
      <c r="K43">
        <f t="shared" si="2"/>
        <v>0</v>
      </c>
    </row>
    <row r="44" spans="1:11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  <c r="H44" s="23">
        <f t="shared" si="0"/>
        <v>4.8899999999999997</v>
      </c>
      <c r="I44">
        <f t="shared" si="3"/>
        <v>32.483999999999995</v>
      </c>
      <c r="J44">
        <f t="shared" si="1"/>
        <v>1</v>
      </c>
      <c r="K44">
        <f t="shared" si="2"/>
        <v>0</v>
      </c>
    </row>
    <row r="45" spans="1:11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  <c r="H45" s="23">
        <f t="shared" si="0"/>
        <v>6.18</v>
      </c>
      <c r="I45">
        <f t="shared" si="3"/>
        <v>31.279999999999998</v>
      </c>
      <c r="J45">
        <f t="shared" si="1"/>
        <v>1</v>
      </c>
      <c r="K45">
        <f t="shared" si="2"/>
        <v>0</v>
      </c>
    </row>
    <row r="46" spans="1:11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  <c r="H46" s="23">
        <f t="shared" si="0"/>
        <v>5.8000000000000007</v>
      </c>
      <c r="I46">
        <f t="shared" si="3"/>
        <v>30.617999999999999</v>
      </c>
      <c r="J46">
        <f t="shared" si="1"/>
        <v>1</v>
      </c>
      <c r="K46">
        <f t="shared" si="2"/>
        <v>0</v>
      </c>
    </row>
    <row r="47" spans="1:11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  <c r="H47" s="23">
        <f t="shared" si="0"/>
        <v>5.16</v>
      </c>
      <c r="I47">
        <f t="shared" si="3"/>
        <v>28.711999999999996</v>
      </c>
      <c r="J47">
        <f t="shared" si="1"/>
        <v>1</v>
      </c>
      <c r="K47">
        <f t="shared" si="2"/>
        <v>0</v>
      </c>
    </row>
    <row r="48" spans="1:11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  <c r="H48" s="23">
        <f t="shared" si="0"/>
        <v>3.01</v>
      </c>
      <c r="I48">
        <f t="shared" si="3"/>
        <v>26.811999999999994</v>
      </c>
      <c r="J48">
        <f t="shared" si="1"/>
        <v>1</v>
      </c>
      <c r="K48">
        <f t="shared" si="2"/>
        <v>0</v>
      </c>
    </row>
    <row r="49" spans="1:11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  <c r="H49" s="23">
        <f t="shared" si="0"/>
        <v>7.27</v>
      </c>
      <c r="I49">
        <f t="shared" si="3"/>
        <v>27.395999999999994</v>
      </c>
      <c r="J49">
        <f t="shared" si="1"/>
        <v>1</v>
      </c>
      <c r="K49">
        <f t="shared" si="2"/>
        <v>0</v>
      </c>
    </row>
    <row r="50" spans="1:11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  <c r="H50" s="23">
        <f t="shared" si="0"/>
        <v>6.0600000000000005</v>
      </c>
      <c r="I50">
        <f t="shared" si="3"/>
        <v>25.321999999999992</v>
      </c>
      <c r="J50">
        <f t="shared" si="1"/>
        <v>1</v>
      </c>
      <c r="K50">
        <f t="shared" si="2"/>
        <v>0</v>
      </c>
    </row>
    <row r="51" spans="1:11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  <c r="H51" s="23">
        <f t="shared" si="0"/>
        <v>4.4499999999999993</v>
      </c>
      <c r="I51">
        <f t="shared" si="3"/>
        <v>22.871999999999993</v>
      </c>
      <c r="J51">
        <f t="shared" si="1"/>
        <v>1</v>
      </c>
      <c r="K51">
        <f t="shared" si="2"/>
        <v>0</v>
      </c>
    </row>
    <row r="52" spans="1:11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  <c r="H52" s="23">
        <f t="shared" si="0"/>
        <v>8.3600000000000012</v>
      </c>
      <c r="I52">
        <f t="shared" si="3"/>
        <v>23.103999999999992</v>
      </c>
      <c r="J52">
        <f t="shared" si="1"/>
        <v>1</v>
      </c>
      <c r="K52">
        <f t="shared" si="2"/>
        <v>0</v>
      </c>
    </row>
    <row r="53" spans="1:11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  <c r="H53" s="23">
        <f t="shared" si="0"/>
        <v>9.2899999999999991</v>
      </c>
      <c r="I53">
        <f t="shared" si="3"/>
        <v>23.059999999999992</v>
      </c>
      <c r="J53">
        <f t="shared" si="1"/>
        <v>1</v>
      </c>
      <c r="K53">
        <f t="shared" si="2"/>
        <v>0</v>
      </c>
    </row>
    <row r="54" spans="1:11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  <c r="H54" s="23">
        <f t="shared" si="0"/>
        <v>7.9899999999999993</v>
      </c>
      <c r="I54">
        <f t="shared" si="3"/>
        <v>23.801999999999992</v>
      </c>
      <c r="J54">
        <f t="shared" si="1"/>
        <v>1</v>
      </c>
      <c r="K54">
        <f t="shared" si="2"/>
        <v>0</v>
      </c>
    </row>
    <row r="55" spans="1:11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  <c r="H55" s="23">
        <f t="shared" si="0"/>
        <v>5.84</v>
      </c>
      <c r="I55">
        <f t="shared" si="3"/>
        <v>20.379999999999992</v>
      </c>
      <c r="J55">
        <f t="shared" si="1"/>
        <v>1</v>
      </c>
      <c r="K55">
        <f t="shared" si="2"/>
        <v>0</v>
      </c>
    </row>
    <row r="56" spans="1:11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  <c r="H56" s="23">
        <f t="shared" si="0"/>
        <v>8.18</v>
      </c>
      <c r="I56">
        <f t="shared" si="3"/>
        <v>21.075999999999993</v>
      </c>
      <c r="J56">
        <f t="shared" si="1"/>
        <v>1</v>
      </c>
      <c r="K56">
        <f t="shared" si="2"/>
        <v>0</v>
      </c>
    </row>
    <row r="57" spans="1:11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  <c r="H57" s="23">
        <f t="shared" si="0"/>
        <v>7.7999999999999989</v>
      </c>
      <c r="I57">
        <f t="shared" si="3"/>
        <v>21.879999999999995</v>
      </c>
      <c r="J57">
        <f t="shared" si="1"/>
        <v>1</v>
      </c>
      <c r="K57">
        <f t="shared" si="2"/>
        <v>0</v>
      </c>
    </row>
    <row r="58" spans="1:11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  <c r="H58" s="23">
        <f t="shared" si="0"/>
        <v>7.24</v>
      </c>
      <c r="I58">
        <f t="shared" si="3"/>
        <v>22.615999999999996</v>
      </c>
      <c r="J58">
        <f t="shared" si="1"/>
        <v>1</v>
      </c>
      <c r="K58">
        <f t="shared" si="2"/>
        <v>0</v>
      </c>
    </row>
    <row r="59" spans="1:11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  <c r="H59" s="23">
        <f t="shared" si="0"/>
        <v>7.8100000000000005</v>
      </c>
      <c r="I59">
        <f t="shared" si="3"/>
        <v>23.923999999999996</v>
      </c>
      <c r="J59">
        <f t="shared" si="1"/>
        <v>1</v>
      </c>
      <c r="K59">
        <f t="shared" si="2"/>
        <v>0</v>
      </c>
    </row>
    <row r="60" spans="1:11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  <c r="H60" s="23">
        <f t="shared" si="0"/>
        <v>4.8899999999999997</v>
      </c>
      <c r="I60">
        <f t="shared" si="3"/>
        <v>21.757999999999996</v>
      </c>
      <c r="J60">
        <f t="shared" si="1"/>
        <v>1</v>
      </c>
      <c r="K60">
        <f t="shared" si="2"/>
        <v>0</v>
      </c>
    </row>
    <row r="61" spans="1:11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  <c r="H61" s="23">
        <f t="shared" si="0"/>
        <v>5.34</v>
      </c>
      <c r="I61">
        <f t="shared" si="3"/>
        <v>20.803999999999995</v>
      </c>
      <c r="J61">
        <f t="shared" si="1"/>
        <v>1</v>
      </c>
      <c r="K61">
        <f t="shared" si="2"/>
        <v>0</v>
      </c>
    </row>
    <row r="62" spans="1:11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  <c r="H62" s="23">
        <f t="shared" si="0"/>
        <v>3.7300000000000004</v>
      </c>
      <c r="I62">
        <f t="shared" si="3"/>
        <v>19.915999999999993</v>
      </c>
      <c r="J62">
        <f t="shared" si="1"/>
        <v>1</v>
      </c>
      <c r="K62">
        <f t="shared" si="2"/>
        <v>0</v>
      </c>
    </row>
    <row r="63" spans="1:11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  <c r="H63" s="23">
        <f t="shared" si="0"/>
        <v>4.1900000000000004</v>
      </c>
      <c r="I63">
        <f t="shared" si="3"/>
        <v>16.821999999999992</v>
      </c>
      <c r="J63">
        <f t="shared" si="1"/>
        <v>1</v>
      </c>
      <c r="K63">
        <f t="shared" si="2"/>
        <v>0</v>
      </c>
    </row>
    <row r="64" spans="1:11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  <c r="H64" s="23">
        <f t="shared" si="0"/>
        <v>7.7200000000000015</v>
      </c>
      <c r="I64">
        <f t="shared" si="3"/>
        <v>18.021999999999991</v>
      </c>
      <c r="J64">
        <f t="shared" si="1"/>
        <v>1</v>
      </c>
      <c r="K64">
        <f t="shared" si="2"/>
        <v>0</v>
      </c>
    </row>
    <row r="65" spans="1:11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  <c r="H65" s="23">
        <f t="shared" si="0"/>
        <v>8.43</v>
      </c>
      <c r="I65">
        <f t="shared" si="3"/>
        <v>18.909999999999993</v>
      </c>
      <c r="J65">
        <f t="shared" si="1"/>
        <v>1</v>
      </c>
      <c r="K65">
        <f t="shared" si="2"/>
        <v>0</v>
      </c>
    </row>
    <row r="66" spans="1:11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  <c r="H66" s="23">
        <f t="shared" si="0"/>
        <v>8.11</v>
      </c>
      <c r="I66">
        <f t="shared" si="3"/>
        <v>19.901999999999994</v>
      </c>
      <c r="J66">
        <f t="shared" si="1"/>
        <v>1</v>
      </c>
      <c r="K66">
        <f t="shared" si="2"/>
        <v>0</v>
      </c>
    </row>
    <row r="67" spans="1:11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  <c r="H67" s="23">
        <f t="shared" ref="H67:H130" si="4">G67+E67-F67</f>
        <v>4.67</v>
      </c>
      <c r="I67">
        <f t="shared" si="3"/>
        <v>18.495999999999995</v>
      </c>
      <c r="J67">
        <f t="shared" ref="J67:J130" si="5">IF(I67&lt;50,1,0)</f>
        <v>1</v>
      </c>
      <c r="K67">
        <f t="shared" ref="K67:K130" si="6">IF(I67&lt;0,1,0)</f>
        <v>0</v>
      </c>
    </row>
    <row r="68" spans="1:11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  <c r="H68" s="23">
        <f t="shared" si="4"/>
        <v>4.83</v>
      </c>
      <c r="I68">
        <f t="shared" ref="I68:I131" si="7">I67+F68*0.8-G68</f>
        <v>18.059999999999995</v>
      </c>
      <c r="J68">
        <f t="shared" si="5"/>
        <v>1</v>
      </c>
      <c r="K68">
        <f t="shared" si="6"/>
        <v>0</v>
      </c>
    </row>
    <row r="69" spans="1:11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  <c r="H69" s="23">
        <f t="shared" si="4"/>
        <v>4.99</v>
      </c>
      <c r="I69">
        <f t="shared" si="7"/>
        <v>16.213999999999995</v>
      </c>
      <c r="J69">
        <f t="shared" si="5"/>
        <v>1</v>
      </c>
      <c r="K69">
        <f t="shared" si="6"/>
        <v>0</v>
      </c>
    </row>
    <row r="70" spans="1:11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  <c r="H70" s="23">
        <f t="shared" si="4"/>
        <v>7.9700000000000006</v>
      </c>
      <c r="I70">
        <f t="shared" si="7"/>
        <v>15.847999999999995</v>
      </c>
      <c r="J70">
        <f t="shared" si="5"/>
        <v>1</v>
      </c>
      <c r="K70">
        <f t="shared" si="6"/>
        <v>0</v>
      </c>
    </row>
    <row r="71" spans="1:11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  <c r="H71" s="23">
        <f t="shared" si="4"/>
        <v>4.830000000000001</v>
      </c>
      <c r="I71">
        <f t="shared" si="7"/>
        <v>13.797999999999995</v>
      </c>
      <c r="J71">
        <f t="shared" si="5"/>
        <v>1</v>
      </c>
      <c r="K71">
        <f t="shared" si="6"/>
        <v>0</v>
      </c>
    </row>
    <row r="72" spans="1:11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  <c r="H72" s="23">
        <f t="shared" si="4"/>
        <v>8.91</v>
      </c>
      <c r="I72">
        <f t="shared" si="7"/>
        <v>15.285999999999996</v>
      </c>
      <c r="J72">
        <f t="shared" si="5"/>
        <v>1</v>
      </c>
      <c r="K72">
        <f t="shared" si="6"/>
        <v>0</v>
      </c>
    </row>
    <row r="73" spans="1:11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  <c r="H73" s="23">
        <f t="shared" si="4"/>
        <v>10.6</v>
      </c>
      <c r="I73">
        <f t="shared" si="7"/>
        <v>16.557999999999996</v>
      </c>
      <c r="J73">
        <f t="shared" si="5"/>
        <v>1</v>
      </c>
      <c r="K73">
        <f t="shared" si="6"/>
        <v>0</v>
      </c>
    </row>
    <row r="74" spans="1:11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  <c r="H74" s="23">
        <f t="shared" si="4"/>
        <v>5.74</v>
      </c>
      <c r="I74">
        <f t="shared" si="7"/>
        <v>15.609999999999994</v>
      </c>
      <c r="J74">
        <f t="shared" si="5"/>
        <v>1</v>
      </c>
      <c r="K74">
        <f t="shared" si="6"/>
        <v>0</v>
      </c>
    </row>
    <row r="75" spans="1:11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  <c r="H75" s="23">
        <f t="shared" si="4"/>
        <v>5.23</v>
      </c>
      <c r="I75">
        <f t="shared" si="7"/>
        <v>13.173999999999992</v>
      </c>
      <c r="J75">
        <f t="shared" si="5"/>
        <v>1</v>
      </c>
      <c r="K75">
        <f t="shared" si="6"/>
        <v>0</v>
      </c>
    </row>
    <row r="76" spans="1:11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  <c r="H76" s="23">
        <f t="shared" si="4"/>
        <v>9.23</v>
      </c>
      <c r="I76">
        <f t="shared" si="7"/>
        <v>15.583999999999991</v>
      </c>
      <c r="J76">
        <f t="shared" si="5"/>
        <v>1</v>
      </c>
      <c r="K76">
        <f t="shared" si="6"/>
        <v>0</v>
      </c>
    </row>
    <row r="77" spans="1:11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  <c r="H77" s="23">
        <f t="shared" si="4"/>
        <v>5.17</v>
      </c>
      <c r="I77">
        <f t="shared" si="7"/>
        <v>13.095999999999993</v>
      </c>
      <c r="J77">
        <f t="shared" si="5"/>
        <v>1</v>
      </c>
      <c r="K77">
        <f t="shared" si="6"/>
        <v>0</v>
      </c>
    </row>
    <row r="78" spans="1:11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  <c r="H78" s="23">
        <f t="shared" si="4"/>
        <v>8.9700000000000006</v>
      </c>
      <c r="I78">
        <f t="shared" si="7"/>
        <v>14.551999999999992</v>
      </c>
      <c r="J78">
        <f t="shared" si="5"/>
        <v>1</v>
      </c>
      <c r="K78">
        <f t="shared" si="6"/>
        <v>0</v>
      </c>
    </row>
    <row r="79" spans="1:11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  <c r="H79" s="23">
        <f t="shared" si="4"/>
        <v>11.27</v>
      </c>
      <c r="I79">
        <f t="shared" si="7"/>
        <v>17.163999999999991</v>
      </c>
      <c r="J79">
        <f t="shared" si="5"/>
        <v>1</v>
      </c>
      <c r="K79">
        <f t="shared" si="6"/>
        <v>0</v>
      </c>
    </row>
    <row r="80" spans="1:11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  <c r="H80" s="23">
        <f t="shared" si="4"/>
        <v>9.5399999999999991</v>
      </c>
      <c r="I80">
        <f t="shared" si="7"/>
        <v>19.239999999999991</v>
      </c>
      <c r="J80">
        <f t="shared" si="5"/>
        <v>1</v>
      </c>
      <c r="K80">
        <f t="shared" si="6"/>
        <v>0</v>
      </c>
    </row>
    <row r="81" spans="1:11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  <c r="H81" s="23">
        <f t="shared" si="4"/>
        <v>5.4499999999999993</v>
      </c>
      <c r="I81">
        <f t="shared" si="7"/>
        <v>17.069999999999993</v>
      </c>
      <c r="J81">
        <f t="shared" si="5"/>
        <v>1</v>
      </c>
      <c r="K81">
        <f t="shared" si="6"/>
        <v>0</v>
      </c>
    </row>
    <row r="82" spans="1:11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  <c r="H82" s="23">
        <f t="shared" si="4"/>
        <v>5.24</v>
      </c>
      <c r="I82">
        <f t="shared" si="7"/>
        <v>15.017999999999994</v>
      </c>
      <c r="J82">
        <f t="shared" si="5"/>
        <v>1</v>
      </c>
      <c r="K82">
        <f t="shared" si="6"/>
        <v>0</v>
      </c>
    </row>
    <row r="83" spans="1:11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  <c r="H83" s="23">
        <f t="shared" si="4"/>
        <v>9.9099999999999984</v>
      </c>
      <c r="I83">
        <f t="shared" si="7"/>
        <v>16.403999999999993</v>
      </c>
      <c r="J83">
        <f t="shared" si="5"/>
        <v>1</v>
      </c>
      <c r="K83">
        <f t="shared" si="6"/>
        <v>0</v>
      </c>
    </row>
    <row r="84" spans="1:11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  <c r="H84" s="23">
        <f t="shared" si="4"/>
        <v>9.9</v>
      </c>
      <c r="I84">
        <f t="shared" si="7"/>
        <v>18.305999999999994</v>
      </c>
      <c r="J84">
        <f t="shared" si="5"/>
        <v>1</v>
      </c>
      <c r="K84">
        <f t="shared" si="6"/>
        <v>0</v>
      </c>
    </row>
    <row r="85" spans="1:11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  <c r="H85" s="23">
        <f t="shared" si="4"/>
        <v>4.87</v>
      </c>
      <c r="I85">
        <f t="shared" si="7"/>
        <v>16.877999999999993</v>
      </c>
      <c r="J85">
        <f t="shared" si="5"/>
        <v>1</v>
      </c>
      <c r="K85">
        <f t="shared" si="6"/>
        <v>0</v>
      </c>
    </row>
    <row r="86" spans="1:11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  <c r="H86" s="23">
        <f t="shared" si="4"/>
        <v>9.4</v>
      </c>
      <c r="I86">
        <f t="shared" si="7"/>
        <v>18.905999999999992</v>
      </c>
      <c r="J86">
        <f t="shared" si="5"/>
        <v>1</v>
      </c>
      <c r="K86">
        <f t="shared" si="6"/>
        <v>0</v>
      </c>
    </row>
    <row r="87" spans="1:11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  <c r="H87" s="23">
        <f t="shared" si="4"/>
        <v>9.5200000000000014</v>
      </c>
      <c r="I87">
        <f t="shared" si="7"/>
        <v>19.459999999999994</v>
      </c>
      <c r="J87">
        <f t="shared" si="5"/>
        <v>1</v>
      </c>
      <c r="K87">
        <f t="shared" si="6"/>
        <v>0</v>
      </c>
    </row>
    <row r="88" spans="1:11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  <c r="H88" s="23">
        <f t="shared" si="4"/>
        <v>4.8899999999999988</v>
      </c>
      <c r="I88">
        <f t="shared" si="7"/>
        <v>18.359999999999992</v>
      </c>
      <c r="J88">
        <f t="shared" si="5"/>
        <v>1</v>
      </c>
      <c r="K88">
        <f t="shared" si="6"/>
        <v>0</v>
      </c>
    </row>
    <row r="89" spans="1:11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  <c r="H89" s="23">
        <f t="shared" si="4"/>
        <v>4.120000000000001</v>
      </c>
      <c r="I89">
        <f t="shared" si="7"/>
        <v>15.949999999999992</v>
      </c>
      <c r="J89">
        <f t="shared" si="5"/>
        <v>1</v>
      </c>
      <c r="K89">
        <f t="shared" si="6"/>
        <v>0</v>
      </c>
    </row>
    <row r="90" spans="1:11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  <c r="H90" s="23">
        <f t="shared" si="4"/>
        <v>9.19</v>
      </c>
      <c r="I90">
        <f t="shared" si="7"/>
        <v>16.971999999999994</v>
      </c>
      <c r="J90">
        <f t="shared" si="5"/>
        <v>1</v>
      </c>
      <c r="K90">
        <f t="shared" si="6"/>
        <v>0</v>
      </c>
    </row>
    <row r="91" spans="1:11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  <c r="H91" s="23">
        <f t="shared" si="4"/>
        <v>9.8500000000000014</v>
      </c>
      <c r="I91">
        <f t="shared" si="7"/>
        <v>17.247999999999994</v>
      </c>
      <c r="J91">
        <f t="shared" si="5"/>
        <v>1</v>
      </c>
      <c r="K91">
        <f t="shared" si="6"/>
        <v>0</v>
      </c>
    </row>
    <row r="92" spans="1:11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  <c r="H92" s="23">
        <f t="shared" si="4"/>
        <v>5.64</v>
      </c>
      <c r="I92">
        <f t="shared" si="7"/>
        <v>16.325999999999993</v>
      </c>
      <c r="J92">
        <f t="shared" si="5"/>
        <v>1</v>
      </c>
      <c r="K92">
        <f t="shared" si="6"/>
        <v>0</v>
      </c>
    </row>
    <row r="93" spans="1:11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  <c r="H93" s="23">
        <f t="shared" si="4"/>
        <v>9.77</v>
      </c>
      <c r="I93">
        <f t="shared" si="7"/>
        <v>17.757999999999996</v>
      </c>
      <c r="J93">
        <f t="shared" si="5"/>
        <v>1</v>
      </c>
      <c r="K93">
        <f t="shared" si="6"/>
        <v>0</v>
      </c>
    </row>
    <row r="94" spans="1:11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  <c r="H94" s="23">
        <f t="shared" si="4"/>
        <v>5.33</v>
      </c>
      <c r="I94">
        <f t="shared" si="7"/>
        <v>14.531999999999996</v>
      </c>
      <c r="J94">
        <f t="shared" si="5"/>
        <v>1</v>
      </c>
      <c r="K94">
        <f t="shared" si="6"/>
        <v>0</v>
      </c>
    </row>
    <row r="95" spans="1:11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  <c r="H95" s="23">
        <f t="shared" si="4"/>
        <v>5.0999999999999996</v>
      </c>
      <c r="I95">
        <f t="shared" si="7"/>
        <v>15.121999999999998</v>
      </c>
      <c r="J95">
        <f t="shared" si="5"/>
        <v>1</v>
      </c>
      <c r="K95">
        <f t="shared" si="6"/>
        <v>0</v>
      </c>
    </row>
    <row r="96" spans="1:11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  <c r="H96" s="23">
        <f t="shared" si="4"/>
        <v>5.2600000000000007</v>
      </c>
      <c r="I96">
        <f t="shared" si="7"/>
        <v>14.437999999999999</v>
      </c>
      <c r="J96">
        <f t="shared" si="5"/>
        <v>1</v>
      </c>
      <c r="K96">
        <f t="shared" si="6"/>
        <v>0</v>
      </c>
    </row>
    <row r="97" spans="1:11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  <c r="H97" s="23">
        <f t="shared" si="4"/>
        <v>6.35</v>
      </c>
      <c r="I97">
        <f t="shared" si="7"/>
        <v>11.625999999999999</v>
      </c>
      <c r="J97">
        <f t="shared" si="5"/>
        <v>1</v>
      </c>
      <c r="K97">
        <f t="shared" si="6"/>
        <v>0</v>
      </c>
    </row>
    <row r="98" spans="1:11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  <c r="H98" s="23">
        <f t="shared" si="4"/>
        <v>5.44</v>
      </c>
      <c r="I98">
        <f t="shared" si="7"/>
        <v>12.294</v>
      </c>
      <c r="J98">
        <f t="shared" si="5"/>
        <v>1</v>
      </c>
      <c r="K98">
        <f t="shared" si="6"/>
        <v>0</v>
      </c>
    </row>
    <row r="99" spans="1:11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  <c r="H99" s="23">
        <f t="shared" si="4"/>
        <v>12.65</v>
      </c>
      <c r="I99">
        <f t="shared" si="7"/>
        <v>13.13</v>
      </c>
      <c r="J99">
        <f t="shared" si="5"/>
        <v>1</v>
      </c>
      <c r="K99">
        <f t="shared" si="6"/>
        <v>0</v>
      </c>
    </row>
    <row r="100" spans="1:11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  <c r="H100" s="23">
        <f t="shared" si="4"/>
        <v>11.14</v>
      </c>
      <c r="I100">
        <f t="shared" si="7"/>
        <v>11.628</v>
      </c>
      <c r="J100">
        <f t="shared" si="5"/>
        <v>1</v>
      </c>
      <c r="K100">
        <f t="shared" si="6"/>
        <v>0</v>
      </c>
    </row>
    <row r="101" spans="1:11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  <c r="H101" s="23">
        <f t="shared" si="4"/>
        <v>9.35</v>
      </c>
      <c r="I101">
        <f t="shared" si="7"/>
        <v>11.548</v>
      </c>
      <c r="J101">
        <f t="shared" si="5"/>
        <v>1</v>
      </c>
      <c r="K101">
        <f t="shared" si="6"/>
        <v>0</v>
      </c>
    </row>
    <row r="102" spans="1:11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  <c r="H102" s="23">
        <f t="shared" si="4"/>
        <v>5.3</v>
      </c>
      <c r="I102">
        <f t="shared" si="7"/>
        <v>9.7399999999999984</v>
      </c>
      <c r="J102">
        <f t="shared" si="5"/>
        <v>1</v>
      </c>
      <c r="K102">
        <f t="shared" si="6"/>
        <v>0</v>
      </c>
    </row>
    <row r="103" spans="1:11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  <c r="H103" s="23">
        <f t="shared" si="4"/>
        <v>7.1799999999999988</v>
      </c>
      <c r="I103">
        <f t="shared" si="7"/>
        <v>9.7219999999999978</v>
      </c>
      <c r="J103">
        <f t="shared" si="5"/>
        <v>1</v>
      </c>
      <c r="K103">
        <f t="shared" si="6"/>
        <v>0</v>
      </c>
    </row>
    <row r="104" spans="1:11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  <c r="H104" s="23">
        <f t="shared" si="4"/>
        <v>7.3199999999999994</v>
      </c>
      <c r="I104">
        <f t="shared" si="7"/>
        <v>9.2779999999999987</v>
      </c>
      <c r="J104">
        <f t="shared" si="5"/>
        <v>1</v>
      </c>
      <c r="K104">
        <f t="shared" si="6"/>
        <v>0</v>
      </c>
    </row>
    <row r="105" spans="1:11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  <c r="H105" s="23">
        <f t="shared" si="4"/>
        <v>11.209999999999999</v>
      </c>
      <c r="I105">
        <f t="shared" si="7"/>
        <v>9.9639999999999986</v>
      </c>
      <c r="J105">
        <f t="shared" si="5"/>
        <v>1</v>
      </c>
      <c r="K105">
        <f t="shared" si="6"/>
        <v>0</v>
      </c>
    </row>
    <row r="106" spans="1:11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  <c r="H106" s="23">
        <f t="shared" si="4"/>
        <v>5.93</v>
      </c>
      <c r="I106">
        <f t="shared" si="7"/>
        <v>11.011999999999999</v>
      </c>
      <c r="J106">
        <f t="shared" si="5"/>
        <v>1</v>
      </c>
      <c r="K106">
        <f t="shared" si="6"/>
        <v>0</v>
      </c>
    </row>
    <row r="107" spans="1:11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  <c r="H107" s="23">
        <f t="shared" si="4"/>
        <v>5.4700000000000006</v>
      </c>
      <c r="I107">
        <f t="shared" si="7"/>
        <v>9.3859999999999992</v>
      </c>
      <c r="J107">
        <f t="shared" si="5"/>
        <v>1</v>
      </c>
      <c r="K107">
        <f t="shared" si="6"/>
        <v>0</v>
      </c>
    </row>
    <row r="108" spans="1:11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  <c r="H108" s="23">
        <f t="shared" si="4"/>
        <v>3.7399999999999998</v>
      </c>
      <c r="I108">
        <f t="shared" si="7"/>
        <v>7.774</v>
      </c>
      <c r="J108">
        <f t="shared" si="5"/>
        <v>1</v>
      </c>
      <c r="K108">
        <f t="shared" si="6"/>
        <v>0</v>
      </c>
    </row>
    <row r="109" spans="1:11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  <c r="H109" s="23">
        <f t="shared" si="4"/>
        <v>4.1500000000000004</v>
      </c>
      <c r="I109">
        <f t="shared" si="7"/>
        <v>5.7959999999999994</v>
      </c>
      <c r="J109">
        <f t="shared" si="5"/>
        <v>1</v>
      </c>
      <c r="K109">
        <f t="shared" si="6"/>
        <v>0</v>
      </c>
    </row>
    <row r="110" spans="1:11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  <c r="H110" s="23">
        <f t="shared" si="4"/>
        <v>4.6400000000000006</v>
      </c>
      <c r="I110">
        <f t="shared" si="7"/>
        <v>4.5219999999999985</v>
      </c>
      <c r="J110">
        <f t="shared" si="5"/>
        <v>1</v>
      </c>
      <c r="K110">
        <f t="shared" si="6"/>
        <v>0</v>
      </c>
    </row>
    <row r="111" spans="1:11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  <c r="H111" s="23">
        <f t="shared" si="4"/>
        <v>7.0299999999999994</v>
      </c>
      <c r="I111">
        <f t="shared" si="7"/>
        <v>4.5179999999999989</v>
      </c>
      <c r="J111">
        <f t="shared" si="5"/>
        <v>1</v>
      </c>
      <c r="K111">
        <f t="shared" si="6"/>
        <v>0</v>
      </c>
    </row>
    <row r="112" spans="1:11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  <c r="H112" s="23">
        <f t="shared" si="4"/>
        <v>11.639999999999999</v>
      </c>
      <c r="I112">
        <f t="shared" si="7"/>
        <v>5.3460000000000001</v>
      </c>
      <c r="J112">
        <f t="shared" si="5"/>
        <v>1</v>
      </c>
      <c r="K112">
        <f t="shared" si="6"/>
        <v>0</v>
      </c>
    </row>
    <row r="113" spans="1:11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  <c r="H113" s="23">
        <f t="shared" si="4"/>
        <v>5.44</v>
      </c>
      <c r="I113">
        <f t="shared" si="7"/>
        <v>2.3100000000000005</v>
      </c>
      <c r="J113">
        <f t="shared" si="5"/>
        <v>1</v>
      </c>
      <c r="K113">
        <f t="shared" si="6"/>
        <v>0</v>
      </c>
    </row>
    <row r="114" spans="1:11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  <c r="H114" s="23">
        <f t="shared" si="4"/>
        <v>9.5599999999999987</v>
      </c>
      <c r="I114">
        <f t="shared" si="7"/>
        <v>2.7440000000000002</v>
      </c>
      <c r="J114">
        <f t="shared" si="5"/>
        <v>1</v>
      </c>
      <c r="K114">
        <f t="shared" si="6"/>
        <v>0</v>
      </c>
    </row>
    <row r="115" spans="1:11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  <c r="H115" s="23">
        <f t="shared" si="4"/>
        <v>10.59</v>
      </c>
      <c r="I115">
        <f t="shared" si="7"/>
        <v>4.7439999999999998</v>
      </c>
      <c r="J115">
        <f t="shared" si="5"/>
        <v>1</v>
      </c>
      <c r="K115">
        <f t="shared" si="6"/>
        <v>0</v>
      </c>
    </row>
    <row r="116" spans="1:11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  <c r="H116" s="23">
        <f t="shared" si="4"/>
        <v>5.2899999999999991</v>
      </c>
      <c r="I116">
        <f t="shared" si="7"/>
        <v>2.2799999999999998</v>
      </c>
      <c r="J116">
        <f t="shared" si="5"/>
        <v>1</v>
      </c>
      <c r="K116">
        <f t="shared" si="6"/>
        <v>0</v>
      </c>
    </row>
    <row r="117" spans="1:11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  <c r="H117" s="23">
        <f t="shared" si="4"/>
        <v>4.66</v>
      </c>
      <c r="I117">
        <f t="shared" si="7"/>
        <v>2.9580000000000002</v>
      </c>
      <c r="J117">
        <f t="shared" si="5"/>
        <v>1</v>
      </c>
      <c r="K117">
        <f t="shared" si="6"/>
        <v>0</v>
      </c>
    </row>
    <row r="118" spans="1:11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  <c r="H118" s="23">
        <f t="shared" si="4"/>
        <v>5.3900000000000006</v>
      </c>
      <c r="I118">
        <f t="shared" si="7"/>
        <v>3.18</v>
      </c>
      <c r="J118">
        <f t="shared" si="5"/>
        <v>1</v>
      </c>
      <c r="K118">
        <f t="shared" si="6"/>
        <v>0</v>
      </c>
    </row>
    <row r="119" spans="1:11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  <c r="H119" s="23">
        <f t="shared" si="4"/>
        <v>4.43</v>
      </c>
      <c r="I119">
        <f t="shared" si="7"/>
        <v>2.0960000000000005</v>
      </c>
      <c r="J119">
        <f t="shared" si="5"/>
        <v>1</v>
      </c>
      <c r="K119">
        <f t="shared" si="6"/>
        <v>0</v>
      </c>
    </row>
    <row r="120" spans="1:11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  <c r="H120" s="23">
        <f t="shared" si="4"/>
        <v>7.8299999999999992</v>
      </c>
      <c r="I120">
        <f t="shared" si="7"/>
        <v>2.822000000000001</v>
      </c>
      <c r="J120">
        <f t="shared" si="5"/>
        <v>1</v>
      </c>
      <c r="K120">
        <f t="shared" si="6"/>
        <v>0</v>
      </c>
    </row>
    <row r="121" spans="1:11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  <c r="H121" s="23">
        <f t="shared" si="4"/>
        <v>4.38</v>
      </c>
      <c r="I121">
        <f t="shared" si="7"/>
        <v>2.4900000000000007</v>
      </c>
      <c r="J121">
        <f t="shared" si="5"/>
        <v>1</v>
      </c>
      <c r="K121">
        <f t="shared" si="6"/>
        <v>0</v>
      </c>
    </row>
    <row r="122" spans="1:11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  <c r="H122" s="23">
        <f t="shared" si="4"/>
        <v>5.0599999999999996</v>
      </c>
      <c r="I122">
        <f t="shared" si="7"/>
        <v>1.0980000000000008</v>
      </c>
      <c r="J122">
        <f t="shared" si="5"/>
        <v>1</v>
      </c>
      <c r="K122">
        <f t="shared" si="6"/>
        <v>0</v>
      </c>
    </row>
    <row r="123" spans="1:11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  <c r="H123" s="23">
        <f t="shared" si="4"/>
        <v>10.3</v>
      </c>
      <c r="I123">
        <f t="shared" si="7"/>
        <v>2.2400000000000011</v>
      </c>
      <c r="J123">
        <f t="shared" si="5"/>
        <v>1</v>
      </c>
      <c r="K123">
        <f t="shared" si="6"/>
        <v>0</v>
      </c>
    </row>
    <row r="124" spans="1:11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  <c r="H124" s="23">
        <f t="shared" si="4"/>
        <v>4.99</v>
      </c>
      <c r="I124">
        <f t="shared" si="7"/>
        <v>1.9560000000000013</v>
      </c>
      <c r="J124">
        <f t="shared" si="5"/>
        <v>1</v>
      </c>
      <c r="K124">
        <f t="shared" si="6"/>
        <v>0</v>
      </c>
    </row>
    <row r="125" spans="1:11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  <c r="H125" s="23">
        <f t="shared" si="4"/>
        <v>11.290000000000001</v>
      </c>
      <c r="I125">
        <f t="shared" si="7"/>
        <v>3.6420000000000008</v>
      </c>
      <c r="J125">
        <f t="shared" si="5"/>
        <v>1</v>
      </c>
      <c r="K125">
        <f t="shared" si="6"/>
        <v>0</v>
      </c>
    </row>
    <row r="126" spans="1:11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  <c r="H126" s="23">
        <f t="shared" si="4"/>
        <v>11.01</v>
      </c>
      <c r="I126">
        <f t="shared" si="7"/>
        <v>5.2100000000000009</v>
      </c>
      <c r="J126">
        <f t="shared" si="5"/>
        <v>1</v>
      </c>
      <c r="K126">
        <f t="shared" si="6"/>
        <v>0</v>
      </c>
    </row>
    <row r="127" spans="1:11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  <c r="H127" s="23">
        <f t="shared" si="4"/>
        <v>7.0299999999999994</v>
      </c>
      <c r="I127">
        <f t="shared" si="7"/>
        <v>6.3100000000000005</v>
      </c>
      <c r="J127">
        <f t="shared" si="5"/>
        <v>1</v>
      </c>
      <c r="K127">
        <f t="shared" si="6"/>
        <v>0</v>
      </c>
    </row>
    <row r="128" spans="1:11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  <c r="H128" s="23">
        <f t="shared" si="4"/>
        <v>4.3999999999999995</v>
      </c>
      <c r="I128">
        <f t="shared" si="7"/>
        <v>6.7300000000000022</v>
      </c>
      <c r="J128">
        <f t="shared" si="5"/>
        <v>1</v>
      </c>
      <c r="K128">
        <f t="shared" si="6"/>
        <v>0</v>
      </c>
    </row>
    <row r="129" spans="1:11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  <c r="H129" s="23">
        <f t="shared" si="4"/>
        <v>4.5100000000000007</v>
      </c>
      <c r="I129">
        <f t="shared" si="7"/>
        <v>8.1840000000000011</v>
      </c>
      <c r="J129">
        <f t="shared" si="5"/>
        <v>1</v>
      </c>
      <c r="K129">
        <f t="shared" si="6"/>
        <v>0</v>
      </c>
    </row>
    <row r="130" spans="1:11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  <c r="H130" s="23">
        <f t="shared" si="4"/>
        <v>4.49</v>
      </c>
      <c r="I130">
        <f t="shared" si="7"/>
        <v>6.4660000000000011</v>
      </c>
      <c r="J130">
        <f t="shared" si="5"/>
        <v>1</v>
      </c>
      <c r="K130">
        <f t="shared" si="6"/>
        <v>0</v>
      </c>
    </row>
    <row r="131" spans="1:11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  <c r="H131" s="23">
        <f t="shared" ref="H131:H194" si="8">G131+E131-F131</f>
        <v>5.16</v>
      </c>
      <c r="I131">
        <f t="shared" si="7"/>
        <v>6.1780000000000008</v>
      </c>
      <c r="J131">
        <f t="shared" ref="J131:J194" si="9">IF(I131&lt;50,1,0)</f>
        <v>1</v>
      </c>
      <c r="K131">
        <f t="shared" ref="K131:K194" si="10">IF(I131&lt;0,1,0)</f>
        <v>0</v>
      </c>
    </row>
    <row r="132" spans="1:11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  <c r="H132" s="23">
        <f t="shared" si="8"/>
        <v>7.8500000000000005</v>
      </c>
      <c r="I132">
        <f t="shared" ref="I132:I195" si="11">I131+F132*0.8-G132</f>
        <v>6.5500000000000007</v>
      </c>
      <c r="J132">
        <f t="shared" si="9"/>
        <v>1</v>
      </c>
      <c r="K132">
        <f t="shared" si="10"/>
        <v>0</v>
      </c>
    </row>
    <row r="133" spans="1:11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  <c r="H133" s="23">
        <f t="shared" si="8"/>
        <v>10.39</v>
      </c>
      <c r="I133">
        <f t="shared" si="11"/>
        <v>7.2540000000000013</v>
      </c>
      <c r="J133">
        <f t="shared" si="9"/>
        <v>1</v>
      </c>
      <c r="K133">
        <f t="shared" si="10"/>
        <v>0</v>
      </c>
    </row>
    <row r="134" spans="1:11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  <c r="H134" s="23">
        <f t="shared" si="8"/>
        <v>9.629999999999999</v>
      </c>
      <c r="I134">
        <f t="shared" si="11"/>
        <v>10.724</v>
      </c>
      <c r="J134">
        <f t="shared" si="9"/>
        <v>1</v>
      </c>
      <c r="K134">
        <f t="shared" si="10"/>
        <v>0</v>
      </c>
    </row>
    <row r="135" spans="1:11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  <c r="H135" s="23">
        <f t="shared" si="8"/>
        <v>3.92</v>
      </c>
      <c r="I135">
        <f t="shared" si="11"/>
        <v>7.8020000000000005</v>
      </c>
      <c r="J135">
        <f t="shared" si="9"/>
        <v>1</v>
      </c>
      <c r="K135">
        <f t="shared" si="10"/>
        <v>0</v>
      </c>
    </row>
    <row r="136" spans="1:11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  <c r="H136" s="23">
        <f t="shared" si="8"/>
        <v>8.85</v>
      </c>
      <c r="I136">
        <f t="shared" si="11"/>
        <v>8.6740000000000013</v>
      </c>
      <c r="J136">
        <f t="shared" si="9"/>
        <v>1</v>
      </c>
      <c r="K136">
        <f t="shared" si="10"/>
        <v>0</v>
      </c>
    </row>
    <row r="137" spans="1:11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  <c r="H137" s="23">
        <f t="shared" si="8"/>
        <v>12.84</v>
      </c>
      <c r="I137">
        <f t="shared" si="11"/>
        <v>11.072000000000001</v>
      </c>
      <c r="J137">
        <f t="shared" si="9"/>
        <v>1</v>
      </c>
      <c r="K137">
        <f t="shared" si="10"/>
        <v>0</v>
      </c>
    </row>
    <row r="138" spans="1:11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  <c r="H138" s="23">
        <f t="shared" si="8"/>
        <v>10.190000000000001</v>
      </c>
      <c r="I138">
        <f t="shared" si="11"/>
        <v>14.204000000000001</v>
      </c>
      <c r="J138">
        <f t="shared" si="9"/>
        <v>1</v>
      </c>
      <c r="K138">
        <f t="shared" si="10"/>
        <v>0</v>
      </c>
    </row>
    <row r="139" spans="1:11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  <c r="H139" s="23">
        <f t="shared" si="8"/>
        <v>11.969999999999999</v>
      </c>
      <c r="I139">
        <f t="shared" si="11"/>
        <v>16.606000000000002</v>
      </c>
      <c r="J139">
        <f t="shared" si="9"/>
        <v>1</v>
      </c>
      <c r="K139">
        <f t="shared" si="10"/>
        <v>0</v>
      </c>
    </row>
    <row r="140" spans="1:11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  <c r="H140" s="23">
        <f t="shared" si="8"/>
        <v>4.3499999999999996</v>
      </c>
      <c r="I140">
        <f t="shared" si="11"/>
        <v>17.510000000000002</v>
      </c>
      <c r="J140">
        <f t="shared" si="9"/>
        <v>1</v>
      </c>
      <c r="K140">
        <f t="shared" si="10"/>
        <v>0</v>
      </c>
    </row>
    <row r="141" spans="1:11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  <c r="H141" s="23">
        <f t="shared" si="8"/>
        <v>4.6000000000000005</v>
      </c>
      <c r="I141">
        <f t="shared" si="11"/>
        <v>18.670000000000002</v>
      </c>
      <c r="J141">
        <f t="shared" si="9"/>
        <v>1</v>
      </c>
      <c r="K141">
        <f t="shared" si="10"/>
        <v>0</v>
      </c>
    </row>
    <row r="142" spans="1:11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  <c r="H142" s="23">
        <f t="shared" si="8"/>
        <v>5.27</v>
      </c>
      <c r="I142">
        <f t="shared" si="11"/>
        <v>17.868000000000002</v>
      </c>
      <c r="J142">
        <f t="shared" si="9"/>
        <v>1</v>
      </c>
      <c r="K142">
        <f t="shared" si="10"/>
        <v>0</v>
      </c>
    </row>
    <row r="143" spans="1:11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  <c r="H143" s="23">
        <f t="shared" si="8"/>
        <v>12.920000000000002</v>
      </c>
      <c r="I143">
        <f t="shared" si="11"/>
        <v>18.240000000000002</v>
      </c>
      <c r="J143">
        <f t="shared" si="9"/>
        <v>1</v>
      </c>
      <c r="K143">
        <f t="shared" si="10"/>
        <v>0</v>
      </c>
    </row>
    <row r="144" spans="1:11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  <c r="H144" s="23">
        <f t="shared" si="8"/>
        <v>5.73</v>
      </c>
      <c r="I144">
        <f t="shared" si="11"/>
        <v>13.754000000000001</v>
      </c>
      <c r="J144">
        <f t="shared" si="9"/>
        <v>1</v>
      </c>
      <c r="K144">
        <f t="shared" si="10"/>
        <v>0</v>
      </c>
    </row>
    <row r="145" spans="1:11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  <c r="H145" s="23">
        <f t="shared" si="8"/>
        <v>5.08</v>
      </c>
      <c r="I145">
        <f t="shared" si="11"/>
        <v>10.356000000000002</v>
      </c>
      <c r="J145">
        <f t="shared" si="9"/>
        <v>1</v>
      </c>
      <c r="K145">
        <f t="shared" si="10"/>
        <v>0</v>
      </c>
    </row>
    <row r="146" spans="1:11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  <c r="H146" s="23">
        <f t="shared" si="8"/>
        <v>5.34</v>
      </c>
      <c r="I146">
        <f t="shared" si="11"/>
        <v>6.4280000000000026</v>
      </c>
      <c r="J146">
        <f t="shared" si="9"/>
        <v>1</v>
      </c>
      <c r="K146">
        <f t="shared" si="10"/>
        <v>0</v>
      </c>
    </row>
    <row r="147" spans="1:11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  <c r="H147" s="23">
        <f t="shared" si="8"/>
        <v>4.96</v>
      </c>
      <c r="I147">
        <f t="shared" si="11"/>
        <v>3.3280000000000025</v>
      </c>
      <c r="J147">
        <f t="shared" si="9"/>
        <v>1</v>
      </c>
      <c r="K147">
        <f t="shared" si="10"/>
        <v>0</v>
      </c>
    </row>
    <row r="148" spans="1:11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  <c r="H148" s="23">
        <f t="shared" si="8"/>
        <v>5.49</v>
      </c>
      <c r="I148">
        <f t="shared" si="11"/>
        <v>0.58600000000000296</v>
      </c>
      <c r="J148">
        <f t="shared" si="9"/>
        <v>1</v>
      </c>
      <c r="K148">
        <f t="shared" si="10"/>
        <v>0</v>
      </c>
    </row>
    <row r="149" spans="1:11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  <c r="H149" s="23">
        <f t="shared" si="8"/>
        <v>4.54</v>
      </c>
      <c r="I149">
        <f t="shared" si="11"/>
        <v>0.98600000000000332</v>
      </c>
      <c r="J149">
        <f t="shared" si="9"/>
        <v>1</v>
      </c>
      <c r="K149">
        <f t="shared" si="10"/>
        <v>0</v>
      </c>
    </row>
    <row r="150" spans="1:11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  <c r="H150" s="23">
        <f t="shared" si="8"/>
        <v>7</v>
      </c>
      <c r="I150">
        <f t="shared" si="11"/>
        <v>7.2580000000000027</v>
      </c>
      <c r="J150">
        <f t="shared" si="9"/>
        <v>1</v>
      </c>
      <c r="K150">
        <f t="shared" si="10"/>
        <v>0</v>
      </c>
    </row>
    <row r="151" spans="1:11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  <c r="H151" s="23">
        <f t="shared" si="8"/>
        <v>7.4499999999999993</v>
      </c>
      <c r="I151">
        <f t="shared" si="11"/>
        <v>13.762000000000002</v>
      </c>
      <c r="J151">
        <f t="shared" si="9"/>
        <v>1</v>
      </c>
      <c r="K151">
        <f t="shared" si="10"/>
        <v>0</v>
      </c>
    </row>
    <row r="152" spans="1:11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  <c r="H152" s="23">
        <f t="shared" si="8"/>
        <v>9.69</v>
      </c>
      <c r="I152">
        <f t="shared" si="11"/>
        <v>20.892000000000003</v>
      </c>
      <c r="J152">
        <f t="shared" si="9"/>
        <v>1</v>
      </c>
      <c r="K152">
        <f t="shared" si="10"/>
        <v>0</v>
      </c>
    </row>
    <row r="153" spans="1:11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  <c r="H153" s="23">
        <f t="shared" si="8"/>
        <v>11.900000000000002</v>
      </c>
      <c r="I153">
        <f t="shared" si="11"/>
        <v>22.892000000000003</v>
      </c>
      <c r="J153">
        <f t="shared" si="9"/>
        <v>1</v>
      </c>
      <c r="K153">
        <f t="shared" si="10"/>
        <v>0</v>
      </c>
    </row>
    <row r="154" spans="1:11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  <c r="H154" s="23">
        <f t="shared" si="8"/>
        <v>5.85</v>
      </c>
      <c r="I154">
        <f t="shared" si="11"/>
        <v>22.480000000000004</v>
      </c>
      <c r="J154">
        <f t="shared" si="9"/>
        <v>1</v>
      </c>
      <c r="K154">
        <f t="shared" si="10"/>
        <v>0</v>
      </c>
    </row>
    <row r="155" spans="1:11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  <c r="H155" s="23">
        <f t="shared" si="8"/>
        <v>10.73</v>
      </c>
      <c r="I155">
        <f t="shared" si="11"/>
        <v>29.524000000000004</v>
      </c>
      <c r="J155">
        <f t="shared" si="9"/>
        <v>1</v>
      </c>
      <c r="K155">
        <f t="shared" si="10"/>
        <v>0</v>
      </c>
    </row>
    <row r="156" spans="1:11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  <c r="H156" s="23">
        <f t="shared" si="8"/>
        <v>5.5600000000000005</v>
      </c>
      <c r="I156">
        <f t="shared" si="11"/>
        <v>29.484000000000005</v>
      </c>
      <c r="J156">
        <f t="shared" si="9"/>
        <v>1</v>
      </c>
      <c r="K156">
        <f t="shared" si="10"/>
        <v>0</v>
      </c>
    </row>
    <row r="157" spans="1:11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  <c r="H157" s="23">
        <f t="shared" si="8"/>
        <v>8.19</v>
      </c>
      <c r="I157">
        <f t="shared" si="11"/>
        <v>30.932000000000009</v>
      </c>
      <c r="J157">
        <f t="shared" si="9"/>
        <v>1</v>
      </c>
      <c r="K157">
        <f t="shared" si="10"/>
        <v>0</v>
      </c>
    </row>
    <row r="158" spans="1:11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  <c r="H158" s="23">
        <f t="shared" si="8"/>
        <v>10.66</v>
      </c>
      <c r="I158">
        <f t="shared" si="11"/>
        <v>32.112000000000009</v>
      </c>
      <c r="J158">
        <f t="shared" si="9"/>
        <v>1</v>
      </c>
      <c r="K158">
        <f t="shared" si="10"/>
        <v>0</v>
      </c>
    </row>
    <row r="159" spans="1:11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  <c r="H159" s="23">
        <f t="shared" si="8"/>
        <v>10.45</v>
      </c>
      <c r="I159">
        <f t="shared" si="11"/>
        <v>38.884000000000007</v>
      </c>
      <c r="J159">
        <f t="shared" si="9"/>
        <v>1</v>
      </c>
      <c r="K159">
        <f t="shared" si="10"/>
        <v>0</v>
      </c>
    </row>
    <row r="160" spans="1:11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  <c r="H160" s="23">
        <f t="shared" si="8"/>
        <v>9.1900000000000013</v>
      </c>
      <c r="I160">
        <f t="shared" si="11"/>
        <v>40.936000000000007</v>
      </c>
      <c r="J160">
        <f t="shared" si="9"/>
        <v>1</v>
      </c>
      <c r="K160">
        <f t="shared" si="10"/>
        <v>0</v>
      </c>
    </row>
    <row r="161" spans="1:11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  <c r="H161" s="23">
        <f t="shared" si="8"/>
        <v>5.48</v>
      </c>
      <c r="I161">
        <f t="shared" si="11"/>
        <v>39.284000000000006</v>
      </c>
      <c r="J161">
        <f t="shared" si="9"/>
        <v>1</v>
      </c>
      <c r="K161">
        <f t="shared" si="10"/>
        <v>0</v>
      </c>
    </row>
    <row r="162" spans="1:11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  <c r="H162" s="23">
        <f t="shared" si="8"/>
        <v>8.9499999999999993</v>
      </c>
      <c r="I162">
        <f t="shared" si="11"/>
        <v>41.596000000000004</v>
      </c>
      <c r="J162">
        <f t="shared" si="9"/>
        <v>1</v>
      </c>
      <c r="K162">
        <f t="shared" si="10"/>
        <v>0</v>
      </c>
    </row>
    <row r="163" spans="1:11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  <c r="H163" s="23">
        <f t="shared" si="8"/>
        <v>7.6</v>
      </c>
      <c r="I163">
        <f t="shared" si="11"/>
        <v>42.268000000000001</v>
      </c>
      <c r="J163">
        <f t="shared" si="9"/>
        <v>1</v>
      </c>
      <c r="K163">
        <f t="shared" si="10"/>
        <v>0</v>
      </c>
    </row>
    <row r="164" spans="1:11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  <c r="H164" s="23">
        <f t="shared" si="8"/>
        <v>6.34</v>
      </c>
      <c r="I164">
        <f t="shared" si="11"/>
        <v>40.717999999999996</v>
      </c>
      <c r="J164">
        <f t="shared" si="9"/>
        <v>1</v>
      </c>
      <c r="K164">
        <f t="shared" si="10"/>
        <v>0</v>
      </c>
    </row>
    <row r="165" spans="1:11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  <c r="H165" s="23">
        <f t="shared" si="8"/>
        <v>5.3999999999999986</v>
      </c>
      <c r="I165">
        <f t="shared" si="11"/>
        <v>41.411999999999992</v>
      </c>
      <c r="J165">
        <f t="shared" si="9"/>
        <v>1</v>
      </c>
      <c r="K165">
        <f t="shared" si="10"/>
        <v>0</v>
      </c>
    </row>
    <row r="166" spans="1:11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  <c r="H166" s="23">
        <f t="shared" si="8"/>
        <v>11.3</v>
      </c>
      <c r="I166">
        <f t="shared" si="11"/>
        <v>43.005999999999986</v>
      </c>
      <c r="J166">
        <f t="shared" si="9"/>
        <v>1</v>
      </c>
      <c r="K166">
        <f t="shared" si="10"/>
        <v>0</v>
      </c>
    </row>
    <row r="167" spans="1:11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  <c r="H167" s="23">
        <f t="shared" si="8"/>
        <v>9.509999999999998</v>
      </c>
      <c r="I167">
        <f t="shared" si="11"/>
        <v>43.547999999999988</v>
      </c>
      <c r="J167">
        <f t="shared" si="9"/>
        <v>1</v>
      </c>
      <c r="K167">
        <f t="shared" si="10"/>
        <v>0</v>
      </c>
    </row>
    <row r="168" spans="1:11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  <c r="H168" s="23">
        <f t="shared" si="8"/>
        <v>9.4199999999999982</v>
      </c>
      <c r="I168">
        <f t="shared" si="11"/>
        <v>44.86999999999999</v>
      </c>
      <c r="J168">
        <f t="shared" si="9"/>
        <v>1</v>
      </c>
      <c r="K168">
        <f t="shared" si="10"/>
        <v>0</v>
      </c>
    </row>
    <row r="169" spans="1:11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  <c r="H169" s="23">
        <f t="shared" si="8"/>
        <v>4.99</v>
      </c>
      <c r="I169">
        <f t="shared" si="11"/>
        <v>44.339999999999989</v>
      </c>
      <c r="J169">
        <f t="shared" si="9"/>
        <v>1</v>
      </c>
      <c r="K169">
        <f t="shared" si="10"/>
        <v>0</v>
      </c>
    </row>
    <row r="170" spans="1:11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  <c r="H170" s="23">
        <f t="shared" si="8"/>
        <v>10</v>
      </c>
      <c r="I170">
        <f t="shared" si="11"/>
        <v>44.511999999999993</v>
      </c>
      <c r="J170">
        <f t="shared" si="9"/>
        <v>1</v>
      </c>
      <c r="K170">
        <f t="shared" si="10"/>
        <v>0</v>
      </c>
    </row>
    <row r="171" spans="1:11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  <c r="H171" s="23">
        <f t="shared" si="8"/>
        <v>10.200000000000003</v>
      </c>
      <c r="I171">
        <f t="shared" si="11"/>
        <v>48.595999999999989</v>
      </c>
      <c r="J171">
        <f t="shared" si="9"/>
        <v>1</v>
      </c>
      <c r="K171">
        <f t="shared" si="10"/>
        <v>0</v>
      </c>
    </row>
    <row r="172" spans="1:11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  <c r="H172" s="23">
        <f t="shared" si="8"/>
        <v>6.3500000000000005</v>
      </c>
      <c r="I172">
        <f t="shared" si="11"/>
        <v>49.897999999999989</v>
      </c>
      <c r="J172">
        <f t="shared" si="9"/>
        <v>1</v>
      </c>
      <c r="K172">
        <f t="shared" si="10"/>
        <v>0</v>
      </c>
    </row>
    <row r="173" spans="1:11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  <c r="H173" s="23">
        <f t="shared" si="8"/>
        <v>11.4</v>
      </c>
      <c r="I173">
        <f t="shared" si="11"/>
        <v>52.215999999999987</v>
      </c>
      <c r="J173">
        <f t="shared" si="9"/>
        <v>0</v>
      </c>
      <c r="K173">
        <f t="shared" si="10"/>
        <v>0</v>
      </c>
    </row>
    <row r="174" spans="1:11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  <c r="H174" s="23">
        <f t="shared" si="8"/>
        <v>8.0399999999999991</v>
      </c>
      <c r="I174">
        <f t="shared" si="11"/>
        <v>53.005999999999986</v>
      </c>
      <c r="J174">
        <f t="shared" si="9"/>
        <v>0</v>
      </c>
      <c r="K174">
        <f t="shared" si="10"/>
        <v>0</v>
      </c>
    </row>
    <row r="175" spans="1:11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  <c r="H175" s="23">
        <f t="shared" si="8"/>
        <v>11.659999999999998</v>
      </c>
      <c r="I175">
        <f t="shared" si="11"/>
        <v>54.773999999999987</v>
      </c>
      <c r="J175">
        <f t="shared" si="9"/>
        <v>0</v>
      </c>
      <c r="K175">
        <f t="shared" si="10"/>
        <v>0</v>
      </c>
    </row>
    <row r="176" spans="1:11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  <c r="H176" s="23">
        <f t="shared" si="8"/>
        <v>10.28</v>
      </c>
      <c r="I176">
        <f t="shared" si="11"/>
        <v>57.375999999999983</v>
      </c>
      <c r="J176">
        <f t="shared" si="9"/>
        <v>0</v>
      </c>
      <c r="K176">
        <f t="shared" si="10"/>
        <v>0</v>
      </c>
    </row>
    <row r="177" spans="1:11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  <c r="H177" s="23">
        <f t="shared" si="8"/>
        <v>5.5200000000000005</v>
      </c>
      <c r="I177">
        <f t="shared" si="11"/>
        <v>56.877999999999979</v>
      </c>
      <c r="J177">
        <f t="shared" si="9"/>
        <v>0</v>
      </c>
      <c r="K177">
        <f t="shared" si="10"/>
        <v>0</v>
      </c>
    </row>
    <row r="178" spans="1:11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  <c r="H178" s="23">
        <f t="shared" si="8"/>
        <v>7.1700000000000017</v>
      </c>
      <c r="I178">
        <f t="shared" si="11"/>
        <v>61.081999999999979</v>
      </c>
      <c r="J178">
        <f t="shared" si="9"/>
        <v>0</v>
      </c>
      <c r="K178">
        <f t="shared" si="10"/>
        <v>0</v>
      </c>
    </row>
    <row r="179" spans="1:11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  <c r="H179" s="23">
        <f t="shared" si="8"/>
        <v>11.95</v>
      </c>
      <c r="I179">
        <f t="shared" si="11"/>
        <v>61.245999999999988</v>
      </c>
      <c r="J179">
        <f t="shared" si="9"/>
        <v>0</v>
      </c>
      <c r="K179">
        <f t="shared" si="10"/>
        <v>0</v>
      </c>
    </row>
    <row r="180" spans="1:11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  <c r="H180" s="23">
        <f t="shared" si="8"/>
        <v>11.53</v>
      </c>
      <c r="I180">
        <f t="shared" si="11"/>
        <v>62.597999999999985</v>
      </c>
      <c r="J180">
        <f t="shared" si="9"/>
        <v>0</v>
      </c>
      <c r="K180">
        <f t="shared" si="10"/>
        <v>0</v>
      </c>
    </row>
    <row r="181" spans="1:11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  <c r="H181" s="23">
        <f t="shared" si="8"/>
        <v>11.739999999999998</v>
      </c>
      <c r="I181">
        <f t="shared" si="11"/>
        <v>67.487999999999985</v>
      </c>
      <c r="J181">
        <f t="shared" si="9"/>
        <v>0</v>
      </c>
      <c r="K181">
        <f t="shared" si="10"/>
        <v>0</v>
      </c>
    </row>
    <row r="182" spans="1:11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  <c r="H182" s="23">
        <f t="shared" si="8"/>
        <v>6.17</v>
      </c>
      <c r="I182">
        <f t="shared" si="11"/>
        <v>67.609999999999985</v>
      </c>
      <c r="J182">
        <f t="shared" si="9"/>
        <v>0</v>
      </c>
      <c r="K182">
        <f t="shared" si="10"/>
        <v>0</v>
      </c>
    </row>
    <row r="183" spans="1:11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  <c r="H183" s="23">
        <f t="shared" si="8"/>
        <v>5.9399999999999995</v>
      </c>
      <c r="I183">
        <f t="shared" si="11"/>
        <v>64.321999999999989</v>
      </c>
      <c r="J183">
        <f t="shared" si="9"/>
        <v>0</v>
      </c>
      <c r="K183">
        <f t="shared" si="10"/>
        <v>0</v>
      </c>
    </row>
    <row r="184" spans="1:11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  <c r="H184" s="23">
        <f t="shared" si="8"/>
        <v>10.989999999999998</v>
      </c>
      <c r="I184">
        <f t="shared" si="11"/>
        <v>65.673999999999978</v>
      </c>
      <c r="J184">
        <f t="shared" si="9"/>
        <v>0</v>
      </c>
      <c r="K184">
        <f t="shared" si="10"/>
        <v>0</v>
      </c>
    </row>
    <row r="185" spans="1:11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  <c r="H185" s="23">
        <f t="shared" si="8"/>
        <v>10.290000000000001</v>
      </c>
      <c r="I185">
        <f t="shared" si="11"/>
        <v>71.247999999999976</v>
      </c>
      <c r="J185">
        <f t="shared" si="9"/>
        <v>0</v>
      </c>
      <c r="K185">
        <f t="shared" si="10"/>
        <v>0</v>
      </c>
    </row>
    <row r="186" spans="1:11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  <c r="H186" s="23">
        <f t="shared" si="8"/>
        <v>10.73</v>
      </c>
      <c r="I186">
        <f t="shared" si="11"/>
        <v>78.279999999999973</v>
      </c>
      <c r="J186">
        <f t="shared" si="9"/>
        <v>0</v>
      </c>
      <c r="K186">
        <f t="shared" si="10"/>
        <v>0</v>
      </c>
    </row>
    <row r="187" spans="1:11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  <c r="H187" s="23">
        <f t="shared" si="8"/>
        <v>10.309999999999999</v>
      </c>
      <c r="I187">
        <f t="shared" si="11"/>
        <v>84.761999999999972</v>
      </c>
      <c r="J187">
        <f t="shared" si="9"/>
        <v>0</v>
      </c>
      <c r="K187">
        <f t="shared" si="10"/>
        <v>0</v>
      </c>
    </row>
    <row r="188" spans="1:11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  <c r="H188" s="23">
        <f t="shared" si="8"/>
        <v>7.6199999999999974</v>
      </c>
      <c r="I188">
        <f t="shared" si="11"/>
        <v>89.557999999999964</v>
      </c>
      <c r="J188">
        <f t="shared" si="9"/>
        <v>0</v>
      </c>
      <c r="K188">
        <f t="shared" si="10"/>
        <v>0</v>
      </c>
    </row>
    <row r="189" spans="1:11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  <c r="H189" s="23">
        <f t="shared" si="8"/>
        <v>10.619999999999997</v>
      </c>
      <c r="I189">
        <f t="shared" si="11"/>
        <v>93.973999999999975</v>
      </c>
      <c r="J189">
        <f t="shared" si="9"/>
        <v>0</v>
      </c>
      <c r="K189">
        <f t="shared" si="10"/>
        <v>0</v>
      </c>
    </row>
    <row r="190" spans="1:11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  <c r="H190" s="23">
        <f t="shared" si="8"/>
        <v>9.370000000000001</v>
      </c>
      <c r="I190">
        <f t="shared" si="11"/>
        <v>95.035999999999973</v>
      </c>
      <c r="J190">
        <f t="shared" si="9"/>
        <v>0</v>
      </c>
      <c r="K190">
        <f t="shared" si="10"/>
        <v>0</v>
      </c>
    </row>
    <row r="191" spans="1:11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  <c r="H191" s="23">
        <f t="shared" si="8"/>
        <v>11.21</v>
      </c>
      <c r="I191">
        <f t="shared" si="11"/>
        <v>101.03799999999998</v>
      </c>
      <c r="J191">
        <f t="shared" si="9"/>
        <v>0</v>
      </c>
      <c r="K191">
        <f t="shared" si="10"/>
        <v>0</v>
      </c>
    </row>
    <row r="192" spans="1:11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  <c r="H192" s="23">
        <f t="shared" si="8"/>
        <v>10.069999999999999</v>
      </c>
      <c r="I192">
        <f t="shared" si="11"/>
        <v>107.91999999999999</v>
      </c>
      <c r="J192">
        <f t="shared" si="9"/>
        <v>0</v>
      </c>
      <c r="K192">
        <f t="shared" si="10"/>
        <v>0</v>
      </c>
    </row>
    <row r="193" spans="1:11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  <c r="H193" s="23">
        <f t="shared" si="8"/>
        <v>8.0200000000000014</v>
      </c>
      <c r="I193">
        <f t="shared" si="11"/>
        <v>115.94999999999999</v>
      </c>
      <c r="J193">
        <f t="shared" si="9"/>
        <v>0</v>
      </c>
      <c r="K193">
        <f t="shared" si="10"/>
        <v>0</v>
      </c>
    </row>
    <row r="194" spans="1:11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  <c r="H194" s="23">
        <f t="shared" si="8"/>
        <v>9.94</v>
      </c>
      <c r="I194">
        <f t="shared" si="11"/>
        <v>123.42399999999999</v>
      </c>
      <c r="J194">
        <f t="shared" si="9"/>
        <v>0</v>
      </c>
      <c r="K194">
        <f t="shared" si="10"/>
        <v>0</v>
      </c>
    </row>
    <row r="195" spans="1:11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  <c r="H195" s="23">
        <f t="shared" ref="H195:H258" si="12">G195+E195-F195</f>
        <v>10.37</v>
      </c>
      <c r="I195">
        <f t="shared" si="11"/>
        <v>128.33599999999998</v>
      </c>
      <c r="J195">
        <f t="shared" ref="J195:J258" si="13">IF(I195&lt;50,1,0)</f>
        <v>0</v>
      </c>
      <c r="K195">
        <f t="shared" ref="K195:K258" si="14">IF(I195&lt;0,1,0)</f>
        <v>0</v>
      </c>
    </row>
    <row r="196" spans="1:11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  <c r="H196" s="23">
        <f t="shared" si="12"/>
        <v>8.1700000000000017</v>
      </c>
      <c r="I196">
        <f t="shared" ref="I196:I259" si="15">I195+F196*0.8-G196</f>
        <v>132.47799999999998</v>
      </c>
      <c r="J196">
        <f t="shared" si="13"/>
        <v>0</v>
      </c>
      <c r="K196">
        <f t="shared" si="14"/>
        <v>0</v>
      </c>
    </row>
    <row r="197" spans="1:11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  <c r="H197" s="23">
        <f t="shared" si="12"/>
        <v>7.0600000000000023</v>
      </c>
      <c r="I197">
        <f t="shared" si="15"/>
        <v>138.98799999999997</v>
      </c>
      <c r="J197">
        <f t="shared" si="13"/>
        <v>0</v>
      </c>
      <c r="K197">
        <f t="shared" si="14"/>
        <v>0</v>
      </c>
    </row>
    <row r="198" spans="1:11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  <c r="H198" s="23">
        <f t="shared" si="12"/>
        <v>8.5399999999999991</v>
      </c>
      <c r="I198">
        <f t="shared" si="15"/>
        <v>143.97199999999998</v>
      </c>
      <c r="J198">
        <f t="shared" si="13"/>
        <v>0</v>
      </c>
      <c r="K198">
        <f t="shared" si="14"/>
        <v>0</v>
      </c>
    </row>
    <row r="199" spans="1:11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  <c r="H199" s="23">
        <f t="shared" si="12"/>
        <v>9.9</v>
      </c>
      <c r="I199">
        <f t="shared" si="15"/>
        <v>151.65399999999997</v>
      </c>
      <c r="J199">
        <f t="shared" si="13"/>
        <v>0</v>
      </c>
      <c r="K199">
        <f t="shared" si="14"/>
        <v>0</v>
      </c>
    </row>
    <row r="200" spans="1:11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  <c r="H200" s="23">
        <f t="shared" si="12"/>
        <v>11.78</v>
      </c>
      <c r="I200">
        <f t="shared" si="15"/>
        <v>157.07399999999998</v>
      </c>
      <c r="J200">
        <f t="shared" si="13"/>
        <v>0</v>
      </c>
      <c r="K200">
        <f t="shared" si="14"/>
        <v>0</v>
      </c>
    </row>
    <row r="201" spans="1:11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  <c r="H201" s="23">
        <f t="shared" si="12"/>
        <v>11.24</v>
      </c>
      <c r="I201">
        <f t="shared" si="15"/>
        <v>161.80799999999999</v>
      </c>
      <c r="J201">
        <f t="shared" si="13"/>
        <v>0</v>
      </c>
      <c r="K201">
        <f t="shared" si="14"/>
        <v>0</v>
      </c>
    </row>
    <row r="202" spans="1:11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  <c r="H202" s="23">
        <f t="shared" si="12"/>
        <v>9.1500000000000021</v>
      </c>
      <c r="I202">
        <f t="shared" si="15"/>
        <v>167.804</v>
      </c>
      <c r="J202">
        <f t="shared" si="13"/>
        <v>0</v>
      </c>
      <c r="K202">
        <f t="shared" si="14"/>
        <v>0</v>
      </c>
    </row>
    <row r="203" spans="1:11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  <c r="H203" s="23">
        <f t="shared" si="12"/>
        <v>9.48</v>
      </c>
      <c r="I203">
        <f t="shared" si="15"/>
        <v>174.43200000000002</v>
      </c>
      <c r="J203">
        <f t="shared" si="13"/>
        <v>0</v>
      </c>
      <c r="K203">
        <f t="shared" si="14"/>
        <v>0</v>
      </c>
    </row>
    <row r="204" spans="1:11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  <c r="H204" s="23">
        <f t="shared" si="12"/>
        <v>9.4499999999999975</v>
      </c>
      <c r="I204">
        <f t="shared" si="15"/>
        <v>180.05200000000002</v>
      </c>
      <c r="J204">
        <f t="shared" si="13"/>
        <v>0</v>
      </c>
      <c r="K204">
        <f t="shared" si="14"/>
        <v>0</v>
      </c>
    </row>
    <row r="205" spans="1:11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  <c r="H205" s="23">
        <f t="shared" si="12"/>
        <v>10.040000000000003</v>
      </c>
      <c r="I205">
        <f t="shared" si="15"/>
        <v>186.51200000000003</v>
      </c>
      <c r="J205">
        <f t="shared" si="13"/>
        <v>0</v>
      </c>
      <c r="K205">
        <f t="shared" si="14"/>
        <v>0</v>
      </c>
    </row>
    <row r="206" spans="1:11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  <c r="H206" s="23">
        <f t="shared" si="12"/>
        <v>9.7799999999999994</v>
      </c>
      <c r="I206">
        <f t="shared" si="15"/>
        <v>191.61600000000001</v>
      </c>
      <c r="J206">
        <f t="shared" si="13"/>
        <v>0</v>
      </c>
      <c r="K206">
        <f t="shared" si="14"/>
        <v>0</v>
      </c>
    </row>
    <row r="207" spans="1:11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  <c r="H207" s="23">
        <f t="shared" si="12"/>
        <v>8.6500000000000021</v>
      </c>
      <c r="I207">
        <f t="shared" si="15"/>
        <v>195.15600000000001</v>
      </c>
      <c r="J207">
        <f t="shared" si="13"/>
        <v>0</v>
      </c>
      <c r="K207">
        <f t="shared" si="14"/>
        <v>0</v>
      </c>
    </row>
    <row r="208" spans="1:11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  <c r="H208" s="23">
        <f t="shared" si="12"/>
        <v>9.3000000000000007</v>
      </c>
      <c r="I208">
        <f t="shared" si="15"/>
        <v>200.226</v>
      </c>
      <c r="J208">
        <f t="shared" si="13"/>
        <v>0</v>
      </c>
      <c r="K208">
        <f t="shared" si="14"/>
        <v>0</v>
      </c>
    </row>
    <row r="209" spans="1:11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  <c r="H209" s="23">
        <f t="shared" si="12"/>
        <v>10.540000000000001</v>
      </c>
      <c r="I209">
        <f t="shared" si="15"/>
        <v>205.31800000000001</v>
      </c>
      <c r="J209">
        <f t="shared" si="13"/>
        <v>0</v>
      </c>
      <c r="K209">
        <f t="shared" si="14"/>
        <v>0</v>
      </c>
    </row>
    <row r="210" spans="1:11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  <c r="H210" s="23">
        <f t="shared" si="12"/>
        <v>11.070000000000002</v>
      </c>
      <c r="I210">
        <f t="shared" si="15"/>
        <v>211.44</v>
      </c>
      <c r="J210">
        <f t="shared" si="13"/>
        <v>0</v>
      </c>
      <c r="K210">
        <f t="shared" si="14"/>
        <v>0</v>
      </c>
    </row>
    <row r="211" spans="1:11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  <c r="H211" s="23">
        <f t="shared" si="12"/>
        <v>10.039999999999999</v>
      </c>
      <c r="I211">
        <f t="shared" si="15"/>
        <v>217.93199999999999</v>
      </c>
      <c r="J211">
        <f t="shared" si="13"/>
        <v>0</v>
      </c>
      <c r="K211">
        <f t="shared" si="14"/>
        <v>0</v>
      </c>
    </row>
    <row r="212" spans="1:11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  <c r="H212" s="23">
        <f t="shared" si="12"/>
        <v>7.6499999999999986</v>
      </c>
      <c r="I212">
        <f t="shared" si="15"/>
        <v>222.364</v>
      </c>
      <c r="J212">
        <f t="shared" si="13"/>
        <v>0</v>
      </c>
      <c r="K212">
        <f t="shared" si="14"/>
        <v>0</v>
      </c>
    </row>
    <row r="213" spans="1:11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  <c r="H213" s="23">
        <f t="shared" si="12"/>
        <v>7.6799999999999979</v>
      </c>
      <c r="I213">
        <f t="shared" si="15"/>
        <v>226.77600000000001</v>
      </c>
      <c r="J213">
        <f t="shared" si="13"/>
        <v>0</v>
      </c>
      <c r="K213">
        <f t="shared" si="14"/>
        <v>0</v>
      </c>
    </row>
    <row r="214" spans="1:11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  <c r="H214" s="23">
        <f t="shared" si="12"/>
        <v>8.2600000000000016</v>
      </c>
      <c r="I214">
        <f t="shared" si="15"/>
        <v>232.58</v>
      </c>
      <c r="J214">
        <f t="shared" si="13"/>
        <v>0</v>
      </c>
      <c r="K214">
        <f t="shared" si="14"/>
        <v>0</v>
      </c>
    </row>
    <row r="215" spans="1:11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  <c r="H215" s="23">
        <f t="shared" si="12"/>
        <v>11.229999999999999</v>
      </c>
      <c r="I215">
        <f t="shared" si="15"/>
        <v>237.69800000000001</v>
      </c>
      <c r="J215">
        <f t="shared" si="13"/>
        <v>0</v>
      </c>
      <c r="K215">
        <f t="shared" si="14"/>
        <v>0</v>
      </c>
    </row>
    <row r="216" spans="1:11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  <c r="H216" s="23">
        <f t="shared" si="12"/>
        <v>11.840000000000002</v>
      </c>
      <c r="I216">
        <f t="shared" si="15"/>
        <v>242.148</v>
      </c>
      <c r="J216">
        <f t="shared" si="13"/>
        <v>0</v>
      </c>
      <c r="K216">
        <f t="shared" si="14"/>
        <v>0</v>
      </c>
    </row>
    <row r="217" spans="1:11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  <c r="H217" s="23">
        <f t="shared" si="12"/>
        <v>11.68</v>
      </c>
      <c r="I217">
        <f t="shared" si="15"/>
        <v>248.32</v>
      </c>
      <c r="J217">
        <f t="shared" si="13"/>
        <v>0</v>
      </c>
      <c r="K217">
        <f t="shared" si="14"/>
        <v>0</v>
      </c>
    </row>
    <row r="218" spans="1:11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  <c r="H218" s="23">
        <f t="shared" si="12"/>
        <v>7.5200000000000014</v>
      </c>
      <c r="I218">
        <f t="shared" si="15"/>
        <v>251.89400000000001</v>
      </c>
      <c r="J218">
        <f t="shared" si="13"/>
        <v>0</v>
      </c>
      <c r="K218">
        <f t="shared" si="14"/>
        <v>0</v>
      </c>
    </row>
    <row r="219" spans="1:11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  <c r="H219" s="23">
        <f t="shared" si="12"/>
        <v>7.4</v>
      </c>
      <c r="I219">
        <f t="shared" si="15"/>
        <v>254.55200000000002</v>
      </c>
      <c r="J219">
        <f t="shared" si="13"/>
        <v>0</v>
      </c>
      <c r="K219">
        <f t="shared" si="14"/>
        <v>0</v>
      </c>
    </row>
    <row r="220" spans="1:11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  <c r="H220" s="23">
        <f t="shared" si="12"/>
        <v>10.91</v>
      </c>
      <c r="I220">
        <f t="shared" si="15"/>
        <v>259.79000000000002</v>
      </c>
      <c r="J220">
        <f t="shared" si="13"/>
        <v>0</v>
      </c>
      <c r="K220">
        <f t="shared" si="14"/>
        <v>0</v>
      </c>
    </row>
    <row r="221" spans="1:11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  <c r="H221" s="23">
        <f t="shared" si="12"/>
        <v>11.71</v>
      </c>
      <c r="I221">
        <f t="shared" si="15"/>
        <v>261.94800000000004</v>
      </c>
      <c r="J221">
        <f t="shared" si="13"/>
        <v>0</v>
      </c>
      <c r="K221">
        <f t="shared" si="14"/>
        <v>0</v>
      </c>
    </row>
    <row r="222" spans="1:11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  <c r="H222" s="23">
        <f t="shared" si="12"/>
        <v>10.679999999999998</v>
      </c>
      <c r="I222">
        <f t="shared" si="15"/>
        <v>268.56</v>
      </c>
      <c r="J222">
        <f t="shared" si="13"/>
        <v>0</v>
      </c>
      <c r="K222">
        <f t="shared" si="14"/>
        <v>0</v>
      </c>
    </row>
    <row r="223" spans="1:11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  <c r="H223" s="23">
        <f t="shared" si="12"/>
        <v>10.83</v>
      </c>
      <c r="I223">
        <f t="shared" si="15"/>
        <v>274.97199999999998</v>
      </c>
      <c r="J223">
        <f t="shared" si="13"/>
        <v>0</v>
      </c>
      <c r="K223">
        <f t="shared" si="14"/>
        <v>0</v>
      </c>
    </row>
    <row r="224" spans="1:11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  <c r="H224" s="23">
        <f t="shared" si="12"/>
        <v>11.320000000000002</v>
      </c>
      <c r="I224">
        <f t="shared" si="15"/>
        <v>277.96199999999999</v>
      </c>
      <c r="J224">
        <f t="shared" si="13"/>
        <v>0</v>
      </c>
      <c r="K224">
        <f t="shared" si="14"/>
        <v>0</v>
      </c>
    </row>
    <row r="225" spans="1:11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  <c r="H225" s="23">
        <f t="shared" si="12"/>
        <v>7.9999999999999991</v>
      </c>
      <c r="I225">
        <f t="shared" si="15"/>
        <v>279.35399999999998</v>
      </c>
      <c r="J225">
        <f t="shared" si="13"/>
        <v>0</v>
      </c>
      <c r="K225">
        <f t="shared" si="14"/>
        <v>0</v>
      </c>
    </row>
    <row r="226" spans="1:11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  <c r="H226" s="23">
        <f t="shared" si="12"/>
        <v>11.149999999999999</v>
      </c>
      <c r="I226">
        <f t="shared" si="15"/>
        <v>284.64799999999997</v>
      </c>
      <c r="J226">
        <f t="shared" si="13"/>
        <v>0</v>
      </c>
      <c r="K226">
        <f t="shared" si="14"/>
        <v>0</v>
      </c>
    </row>
    <row r="227" spans="1:11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  <c r="H227" s="23">
        <f t="shared" si="12"/>
        <v>11.380000000000003</v>
      </c>
      <c r="I227">
        <f t="shared" si="15"/>
        <v>288.43399999999997</v>
      </c>
      <c r="J227">
        <f t="shared" si="13"/>
        <v>0</v>
      </c>
      <c r="K227">
        <f t="shared" si="14"/>
        <v>0</v>
      </c>
    </row>
    <row r="228" spans="1:11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  <c r="H228" s="23">
        <f t="shared" si="12"/>
        <v>9.4400000000000013</v>
      </c>
      <c r="I228">
        <f t="shared" si="15"/>
        <v>296.464</v>
      </c>
      <c r="J228">
        <f t="shared" si="13"/>
        <v>0</v>
      </c>
      <c r="K228">
        <f t="shared" si="14"/>
        <v>0</v>
      </c>
    </row>
    <row r="229" spans="1:11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  <c r="H229" s="23">
        <f t="shared" si="12"/>
        <v>10.779999999999998</v>
      </c>
      <c r="I229">
        <f t="shared" si="15"/>
        <v>300.25200000000001</v>
      </c>
      <c r="J229">
        <f t="shared" si="13"/>
        <v>0</v>
      </c>
      <c r="K229">
        <f t="shared" si="14"/>
        <v>0</v>
      </c>
    </row>
    <row r="230" spans="1:11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  <c r="H230" s="23">
        <f t="shared" si="12"/>
        <v>11.71</v>
      </c>
      <c r="I230">
        <f t="shared" si="15"/>
        <v>305.25400000000002</v>
      </c>
      <c r="J230">
        <f t="shared" si="13"/>
        <v>0</v>
      </c>
      <c r="K230">
        <f t="shared" si="14"/>
        <v>0</v>
      </c>
    </row>
    <row r="231" spans="1:11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  <c r="H231" s="23">
        <f t="shared" si="12"/>
        <v>11.089999999999998</v>
      </c>
      <c r="I231">
        <f t="shared" si="15"/>
        <v>310.94000000000005</v>
      </c>
      <c r="J231">
        <f t="shared" si="13"/>
        <v>0</v>
      </c>
      <c r="K231">
        <f t="shared" si="14"/>
        <v>0</v>
      </c>
    </row>
    <row r="232" spans="1:11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  <c r="H232" s="23">
        <f t="shared" si="12"/>
        <v>7.99</v>
      </c>
      <c r="I232">
        <f t="shared" si="15"/>
        <v>313.40400000000005</v>
      </c>
      <c r="J232">
        <f t="shared" si="13"/>
        <v>0</v>
      </c>
      <c r="K232">
        <f t="shared" si="14"/>
        <v>0</v>
      </c>
    </row>
    <row r="233" spans="1:11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  <c r="H233" s="23">
        <f t="shared" si="12"/>
        <v>11.37</v>
      </c>
      <c r="I233">
        <f t="shared" si="15"/>
        <v>319.29600000000005</v>
      </c>
      <c r="J233">
        <f t="shared" si="13"/>
        <v>0</v>
      </c>
      <c r="K233">
        <f t="shared" si="14"/>
        <v>0</v>
      </c>
    </row>
    <row r="234" spans="1:11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  <c r="H234" s="23">
        <f t="shared" si="12"/>
        <v>7.25</v>
      </c>
      <c r="I234">
        <f t="shared" si="15"/>
        <v>323.5680000000001</v>
      </c>
      <c r="J234">
        <f t="shared" si="13"/>
        <v>0</v>
      </c>
      <c r="K234">
        <f t="shared" si="14"/>
        <v>0</v>
      </c>
    </row>
    <row r="235" spans="1:11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  <c r="H235" s="23">
        <f t="shared" si="12"/>
        <v>7.3599999999999977</v>
      </c>
      <c r="I235">
        <f t="shared" si="15"/>
        <v>328.38400000000007</v>
      </c>
      <c r="J235">
        <f t="shared" si="13"/>
        <v>0</v>
      </c>
      <c r="K235">
        <f t="shared" si="14"/>
        <v>0</v>
      </c>
    </row>
    <row r="236" spans="1:11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  <c r="H236" s="23">
        <f t="shared" si="12"/>
        <v>7.3500000000000005</v>
      </c>
      <c r="I236">
        <f t="shared" si="15"/>
        <v>331.72200000000004</v>
      </c>
      <c r="J236">
        <f t="shared" si="13"/>
        <v>0</v>
      </c>
      <c r="K236">
        <f t="shared" si="14"/>
        <v>0</v>
      </c>
    </row>
    <row r="237" spans="1:11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  <c r="H237" s="23">
        <f t="shared" si="12"/>
        <v>11.319999999999997</v>
      </c>
      <c r="I237">
        <f t="shared" si="15"/>
        <v>337.07400000000001</v>
      </c>
      <c r="J237">
        <f t="shared" si="13"/>
        <v>0</v>
      </c>
      <c r="K237">
        <f t="shared" si="14"/>
        <v>0</v>
      </c>
    </row>
    <row r="238" spans="1:11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  <c r="H238" s="23">
        <f t="shared" si="12"/>
        <v>10.5</v>
      </c>
      <c r="I238">
        <f t="shared" si="15"/>
        <v>342.87800000000004</v>
      </c>
      <c r="J238">
        <f t="shared" si="13"/>
        <v>0</v>
      </c>
      <c r="K238">
        <f t="shared" si="14"/>
        <v>0</v>
      </c>
    </row>
    <row r="239" spans="1:11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  <c r="H239" s="23">
        <f t="shared" si="12"/>
        <v>11.069999999999999</v>
      </c>
      <c r="I239">
        <f t="shared" si="15"/>
        <v>346.87200000000007</v>
      </c>
      <c r="J239">
        <f t="shared" si="13"/>
        <v>0</v>
      </c>
      <c r="K239">
        <f t="shared" si="14"/>
        <v>0</v>
      </c>
    </row>
    <row r="240" spans="1:11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  <c r="H240" s="23">
        <f t="shared" si="12"/>
        <v>9.1</v>
      </c>
      <c r="I240">
        <f t="shared" si="15"/>
        <v>353.13600000000008</v>
      </c>
      <c r="J240">
        <f t="shared" si="13"/>
        <v>0</v>
      </c>
      <c r="K240">
        <f t="shared" si="14"/>
        <v>0</v>
      </c>
    </row>
    <row r="241" spans="1:11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  <c r="H241" s="23">
        <f t="shared" si="12"/>
        <v>10.290000000000001</v>
      </c>
      <c r="I241">
        <f t="shared" si="15"/>
        <v>358.72200000000009</v>
      </c>
      <c r="J241">
        <f t="shared" si="13"/>
        <v>0</v>
      </c>
      <c r="K241">
        <f t="shared" si="14"/>
        <v>0</v>
      </c>
    </row>
    <row r="242" spans="1:11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  <c r="H242" s="23">
        <f t="shared" si="12"/>
        <v>10.52</v>
      </c>
      <c r="I242">
        <f t="shared" si="15"/>
        <v>365.25000000000011</v>
      </c>
      <c r="J242">
        <f t="shared" si="13"/>
        <v>0</v>
      </c>
      <c r="K242">
        <f t="shared" si="14"/>
        <v>0</v>
      </c>
    </row>
    <row r="243" spans="1:11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  <c r="H243" s="23">
        <f t="shared" si="12"/>
        <v>9.6399999999999988</v>
      </c>
      <c r="I243">
        <f t="shared" si="15"/>
        <v>371.44400000000007</v>
      </c>
      <c r="J243">
        <f t="shared" si="13"/>
        <v>0</v>
      </c>
      <c r="K243">
        <f t="shared" si="14"/>
        <v>0</v>
      </c>
    </row>
    <row r="244" spans="1:11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  <c r="H244" s="23">
        <f t="shared" si="12"/>
        <v>9.01</v>
      </c>
      <c r="I244">
        <f t="shared" si="15"/>
        <v>378.09600000000006</v>
      </c>
      <c r="J244">
        <f t="shared" si="13"/>
        <v>0</v>
      </c>
      <c r="K244">
        <f t="shared" si="14"/>
        <v>0</v>
      </c>
    </row>
    <row r="245" spans="1:11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  <c r="H245" s="23">
        <f t="shared" si="12"/>
        <v>9.5399999999999991</v>
      </c>
      <c r="I245">
        <f t="shared" si="15"/>
        <v>383.47400000000005</v>
      </c>
      <c r="J245">
        <f t="shared" si="13"/>
        <v>0</v>
      </c>
      <c r="K245">
        <f t="shared" si="14"/>
        <v>0</v>
      </c>
    </row>
    <row r="246" spans="1:11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  <c r="H246" s="23">
        <f t="shared" si="12"/>
        <v>9.69</v>
      </c>
      <c r="I246">
        <f t="shared" si="15"/>
        <v>386.97200000000004</v>
      </c>
      <c r="J246">
        <f t="shared" si="13"/>
        <v>0</v>
      </c>
      <c r="K246">
        <f t="shared" si="14"/>
        <v>0</v>
      </c>
    </row>
    <row r="247" spans="1:11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  <c r="H247" s="23">
        <f t="shared" si="12"/>
        <v>10.300000000000002</v>
      </c>
      <c r="I247">
        <f t="shared" si="15"/>
        <v>389.23400000000004</v>
      </c>
      <c r="J247">
        <f t="shared" si="13"/>
        <v>0</v>
      </c>
      <c r="K247">
        <f t="shared" si="14"/>
        <v>0</v>
      </c>
    </row>
    <row r="248" spans="1:11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  <c r="H248" s="23">
        <f t="shared" si="12"/>
        <v>9.3999999999999986</v>
      </c>
      <c r="I248">
        <f t="shared" si="15"/>
        <v>397.06600000000009</v>
      </c>
      <c r="J248">
        <f t="shared" si="13"/>
        <v>0</v>
      </c>
      <c r="K248">
        <f t="shared" si="14"/>
        <v>0</v>
      </c>
    </row>
    <row r="249" spans="1:11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  <c r="H249" s="23">
        <f t="shared" si="12"/>
        <v>8.3900000000000023</v>
      </c>
      <c r="I249">
        <f t="shared" si="15"/>
        <v>401.03800000000007</v>
      </c>
      <c r="J249">
        <f t="shared" si="13"/>
        <v>0</v>
      </c>
      <c r="K249">
        <f t="shared" si="14"/>
        <v>0</v>
      </c>
    </row>
    <row r="250" spans="1:11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  <c r="H250" s="23">
        <f t="shared" si="12"/>
        <v>5.1499999999999995</v>
      </c>
      <c r="I250">
        <f t="shared" si="15"/>
        <v>404.7000000000001</v>
      </c>
      <c r="J250">
        <f t="shared" si="13"/>
        <v>0</v>
      </c>
      <c r="K250">
        <f t="shared" si="14"/>
        <v>0</v>
      </c>
    </row>
    <row r="251" spans="1:11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  <c r="H251" s="23">
        <f t="shared" si="12"/>
        <v>9.9099999999999984</v>
      </c>
      <c r="I251">
        <f t="shared" si="15"/>
        <v>411.49600000000009</v>
      </c>
      <c r="J251">
        <f t="shared" si="13"/>
        <v>0</v>
      </c>
      <c r="K251">
        <f t="shared" si="14"/>
        <v>0</v>
      </c>
    </row>
    <row r="252" spans="1:11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  <c r="H252" s="23">
        <f t="shared" si="12"/>
        <v>11.069999999999999</v>
      </c>
      <c r="I252">
        <f t="shared" si="15"/>
        <v>415.33600000000007</v>
      </c>
      <c r="J252">
        <f t="shared" si="13"/>
        <v>0</v>
      </c>
      <c r="K252">
        <f t="shared" si="14"/>
        <v>0</v>
      </c>
    </row>
    <row r="253" spans="1:11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  <c r="H253" s="23">
        <f t="shared" si="12"/>
        <v>7.9300000000000006</v>
      </c>
      <c r="I253">
        <f t="shared" si="15"/>
        <v>418.85000000000008</v>
      </c>
      <c r="J253">
        <f t="shared" si="13"/>
        <v>0</v>
      </c>
      <c r="K253">
        <f t="shared" si="14"/>
        <v>0</v>
      </c>
    </row>
    <row r="254" spans="1:11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  <c r="H254" s="23">
        <f t="shared" si="12"/>
        <v>9.8800000000000008</v>
      </c>
      <c r="I254">
        <f t="shared" si="15"/>
        <v>426.32600000000008</v>
      </c>
      <c r="J254">
        <f t="shared" si="13"/>
        <v>0</v>
      </c>
      <c r="K254">
        <f t="shared" si="14"/>
        <v>0</v>
      </c>
    </row>
    <row r="255" spans="1:11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  <c r="H255" s="23">
        <f t="shared" si="12"/>
        <v>7.0599999999999987</v>
      </c>
      <c r="I255">
        <f t="shared" si="15"/>
        <v>433.1040000000001</v>
      </c>
      <c r="J255">
        <f t="shared" si="13"/>
        <v>0</v>
      </c>
      <c r="K255">
        <f t="shared" si="14"/>
        <v>0</v>
      </c>
    </row>
    <row r="256" spans="1:11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  <c r="H256" s="23">
        <f t="shared" si="12"/>
        <v>7.8600000000000012</v>
      </c>
      <c r="I256">
        <f t="shared" si="15"/>
        <v>437.01200000000011</v>
      </c>
      <c r="J256">
        <f t="shared" si="13"/>
        <v>0</v>
      </c>
      <c r="K256">
        <f t="shared" si="14"/>
        <v>0</v>
      </c>
    </row>
    <row r="257" spans="1:11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  <c r="H257" s="23">
        <f t="shared" si="12"/>
        <v>7.8000000000000007</v>
      </c>
      <c r="I257">
        <f t="shared" si="15"/>
        <v>441.75600000000014</v>
      </c>
      <c r="J257">
        <f t="shared" si="13"/>
        <v>0</v>
      </c>
      <c r="K257">
        <f t="shared" si="14"/>
        <v>0</v>
      </c>
    </row>
    <row r="258" spans="1:11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  <c r="H258" s="23">
        <f t="shared" si="12"/>
        <v>11.78</v>
      </c>
      <c r="I258">
        <f t="shared" si="15"/>
        <v>443.83000000000015</v>
      </c>
      <c r="J258">
        <f t="shared" si="13"/>
        <v>0</v>
      </c>
      <c r="K258">
        <f t="shared" si="14"/>
        <v>0</v>
      </c>
    </row>
    <row r="259" spans="1:11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  <c r="H259" s="23">
        <f t="shared" ref="H259:H322" si="16">G259+E259-F259</f>
        <v>11.679999999999998</v>
      </c>
      <c r="I259">
        <f t="shared" si="15"/>
        <v>448.15600000000018</v>
      </c>
      <c r="J259">
        <f t="shared" ref="J259:J322" si="17">IF(I259&lt;50,1,0)</f>
        <v>0</v>
      </c>
      <c r="K259">
        <f t="shared" ref="K259:K322" si="18">IF(I259&lt;0,1,0)</f>
        <v>0</v>
      </c>
    </row>
    <row r="260" spans="1:11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  <c r="H260" s="23">
        <f t="shared" si="16"/>
        <v>7.88</v>
      </c>
      <c r="I260">
        <f t="shared" ref="I260:I323" si="19">I259+F260*0.8-G260</f>
        <v>448.68000000000018</v>
      </c>
      <c r="J260">
        <f t="shared" si="17"/>
        <v>0</v>
      </c>
      <c r="K260">
        <f t="shared" si="18"/>
        <v>0</v>
      </c>
    </row>
    <row r="261" spans="1:11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  <c r="H261" s="23">
        <f t="shared" si="16"/>
        <v>7.7000000000000011</v>
      </c>
      <c r="I261">
        <f t="shared" si="19"/>
        <v>452.61600000000016</v>
      </c>
      <c r="J261">
        <f t="shared" si="17"/>
        <v>0</v>
      </c>
      <c r="K261">
        <f t="shared" si="18"/>
        <v>0</v>
      </c>
    </row>
    <row r="262" spans="1:11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  <c r="H262" s="23">
        <f t="shared" si="16"/>
        <v>7.2900000000000009</v>
      </c>
      <c r="I262">
        <f t="shared" si="19"/>
        <v>456.20800000000014</v>
      </c>
      <c r="J262">
        <f t="shared" si="17"/>
        <v>0</v>
      </c>
      <c r="K262">
        <f t="shared" si="18"/>
        <v>0</v>
      </c>
    </row>
    <row r="263" spans="1:11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  <c r="H263" s="23">
        <f t="shared" si="16"/>
        <v>5.08</v>
      </c>
      <c r="I263">
        <f t="shared" si="19"/>
        <v>460.00000000000011</v>
      </c>
      <c r="J263">
        <f t="shared" si="17"/>
        <v>0</v>
      </c>
      <c r="K263">
        <f t="shared" si="18"/>
        <v>0</v>
      </c>
    </row>
    <row r="264" spans="1:11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  <c r="H264" s="23">
        <f t="shared" si="16"/>
        <v>11.819999999999999</v>
      </c>
      <c r="I264">
        <f t="shared" si="19"/>
        <v>461.5800000000001</v>
      </c>
      <c r="J264">
        <f t="shared" si="17"/>
        <v>0</v>
      </c>
      <c r="K264">
        <f t="shared" si="18"/>
        <v>0</v>
      </c>
    </row>
    <row r="265" spans="1:11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  <c r="H265" s="23">
        <f t="shared" si="16"/>
        <v>10.79</v>
      </c>
      <c r="I265">
        <f t="shared" si="19"/>
        <v>464.44000000000011</v>
      </c>
      <c r="J265">
        <f t="shared" si="17"/>
        <v>0</v>
      </c>
      <c r="K265">
        <f t="shared" si="18"/>
        <v>0</v>
      </c>
    </row>
    <row r="266" spans="1:11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  <c r="H266" s="23">
        <f t="shared" si="16"/>
        <v>9.5100000000000016</v>
      </c>
      <c r="I266">
        <f t="shared" si="19"/>
        <v>469.87200000000013</v>
      </c>
      <c r="J266">
        <f t="shared" si="17"/>
        <v>0</v>
      </c>
      <c r="K266">
        <f t="shared" si="18"/>
        <v>0</v>
      </c>
    </row>
    <row r="267" spans="1:11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  <c r="H267" s="23">
        <f t="shared" si="16"/>
        <v>11.059999999999999</v>
      </c>
      <c r="I267">
        <f t="shared" si="19"/>
        <v>469.56800000000015</v>
      </c>
      <c r="J267">
        <f t="shared" si="17"/>
        <v>0</v>
      </c>
      <c r="K267">
        <f t="shared" si="18"/>
        <v>0</v>
      </c>
    </row>
    <row r="268" spans="1:11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  <c r="H268" s="23">
        <f t="shared" si="16"/>
        <v>11.899999999999999</v>
      </c>
      <c r="I268">
        <f t="shared" si="19"/>
        <v>472.19000000000017</v>
      </c>
      <c r="J268">
        <f t="shared" si="17"/>
        <v>0</v>
      </c>
      <c r="K268">
        <f t="shared" si="18"/>
        <v>0</v>
      </c>
    </row>
    <row r="269" spans="1:11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  <c r="H269" s="23">
        <f t="shared" si="16"/>
        <v>10.93</v>
      </c>
      <c r="I269">
        <f t="shared" si="19"/>
        <v>478.00200000000018</v>
      </c>
      <c r="J269">
        <f t="shared" si="17"/>
        <v>0</v>
      </c>
      <c r="K269">
        <f t="shared" si="18"/>
        <v>0</v>
      </c>
    </row>
    <row r="270" spans="1:11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  <c r="H270" s="23">
        <f t="shared" si="16"/>
        <v>7.0399999999999991</v>
      </c>
      <c r="I270">
        <f t="shared" si="19"/>
        <v>481.30600000000015</v>
      </c>
      <c r="J270">
        <f t="shared" si="17"/>
        <v>0</v>
      </c>
      <c r="K270">
        <f t="shared" si="18"/>
        <v>0</v>
      </c>
    </row>
    <row r="271" spans="1:11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  <c r="H271" s="23">
        <f t="shared" si="16"/>
        <v>7.7899999999999991</v>
      </c>
      <c r="I271">
        <f t="shared" si="19"/>
        <v>485.17800000000017</v>
      </c>
      <c r="J271">
        <f t="shared" si="17"/>
        <v>0</v>
      </c>
      <c r="K271">
        <f t="shared" si="18"/>
        <v>0</v>
      </c>
    </row>
    <row r="272" spans="1:11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  <c r="H272" s="23">
        <f t="shared" si="16"/>
        <v>8.25</v>
      </c>
      <c r="I272">
        <f t="shared" si="19"/>
        <v>489.0780000000002</v>
      </c>
      <c r="J272">
        <f t="shared" si="17"/>
        <v>0</v>
      </c>
      <c r="K272">
        <f t="shared" si="18"/>
        <v>0</v>
      </c>
    </row>
    <row r="273" spans="1:11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  <c r="H273" s="23">
        <f t="shared" si="16"/>
        <v>5.6599999999999993</v>
      </c>
      <c r="I273">
        <f t="shared" si="19"/>
        <v>491.57600000000019</v>
      </c>
      <c r="J273">
        <f t="shared" si="17"/>
        <v>0</v>
      </c>
      <c r="K273">
        <f t="shared" si="18"/>
        <v>0</v>
      </c>
    </row>
    <row r="274" spans="1:11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  <c r="H274" s="23">
        <f t="shared" si="16"/>
        <v>9.68</v>
      </c>
      <c r="I274">
        <f t="shared" si="19"/>
        <v>493.61200000000019</v>
      </c>
      <c r="J274">
        <f t="shared" si="17"/>
        <v>0</v>
      </c>
      <c r="K274">
        <f t="shared" si="18"/>
        <v>0</v>
      </c>
    </row>
    <row r="275" spans="1:11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  <c r="H275" s="23">
        <f t="shared" si="16"/>
        <v>5.08</v>
      </c>
      <c r="I275">
        <f t="shared" si="19"/>
        <v>493.99600000000015</v>
      </c>
      <c r="J275">
        <f t="shared" si="17"/>
        <v>0</v>
      </c>
      <c r="K275">
        <f t="shared" si="18"/>
        <v>0</v>
      </c>
    </row>
    <row r="276" spans="1:11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  <c r="H276" s="23">
        <f t="shared" si="16"/>
        <v>6.3100000000000014</v>
      </c>
      <c r="I276">
        <f t="shared" si="19"/>
        <v>494.3980000000002</v>
      </c>
      <c r="J276">
        <f t="shared" si="17"/>
        <v>0</v>
      </c>
      <c r="K276">
        <f t="shared" si="18"/>
        <v>0</v>
      </c>
    </row>
    <row r="277" spans="1:11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  <c r="H277" s="23">
        <f t="shared" si="16"/>
        <v>4.66</v>
      </c>
      <c r="I277">
        <f t="shared" si="19"/>
        <v>493.4940000000002</v>
      </c>
      <c r="J277">
        <f t="shared" si="17"/>
        <v>0</v>
      </c>
      <c r="K277">
        <f t="shared" si="18"/>
        <v>0</v>
      </c>
    </row>
    <row r="278" spans="1:11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  <c r="H278" s="23">
        <f t="shared" si="16"/>
        <v>4.32</v>
      </c>
      <c r="I278">
        <f t="shared" si="19"/>
        <v>493.31200000000018</v>
      </c>
      <c r="J278">
        <f t="shared" si="17"/>
        <v>0</v>
      </c>
      <c r="K278">
        <f t="shared" si="18"/>
        <v>0</v>
      </c>
    </row>
    <row r="279" spans="1:11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  <c r="H279" s="23">
        <f t="shared" si="16"/>
        <v>4.5300000000000011</v>
      </c>
      <c r="I279">
        <f t="shared" si="19"/>
        <v>493.3160000000002</v>
      </c>
      <c r="J279">
        <f t="shared" si="17"/>
        <v>0</v>
      </c>
      <c r="K279">
        <f t="shared" si="18"/>
        <v>0</v>
      </c>
    </row>
    <row r="280" spans="1:11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  <c r="H280" s="23">
        <f t="shared" si="16"/>
        <v>3.88</v>
      </c>
      <c r="I280">
        <f t="shared" si="19"/>
        <v>494.3040000000002</v>
      </c>
      <c r="J280">
        <f t="shared" si="17"/>
        <v>0</v>
      </c>
      <c r="K280">
        <f t="shared" si="18"/>
        <v>0</v>
      </c>
    </row>
    <row r="281" spans="1:11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  <c r="H281" s="23">
        <f t="shared" si="16"/>
        <v>6.13</v>
      </c>
      <c r="I281">
        <f t="shared" si="19"/>
        <v>492.74000000000018</v>
      </c>
      <c r="J281">
        <f t="shared" si="17"/>
        <v>0</v>
      </c>
      <c r="K281">
        <f t="shared" si="18"/>
        <v>0</v>
      </c>
    </row>
    <row r="282" spans="1:11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  <c r="H282" s="23">
        <f t="shared" si="16"/>
        <v>6.1099999999999994</v>
      </c>
      <c r="I282">
        <f t="shared" si="19"/>
        <v>489.80000000000018</v>
      </c>
      <c r="J282">
        <f t="shared" si="17"/>
        <v>0</v>
      </c>
      <c r="K282">
        <f t="shared" si="18"/>
        <v>0</v>
      </c>
    </row>
    <row r="283" spans="1:11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  <c r="H283" s="23">
        <f t="shared" si="16"/>
        <v>7.4300000000000006</v>
      </c>
      <c r="I283">
        <f t="shared" si="19"/>
        <v>490.87000000000018</v>
      </c>
      <c r="J283">
        <f t="shared" si="17"/>
        <v>0</v>
      </c>
      <c r="K283">
        <f t="shared" si="18"/>
        <v>0</v>
      </c>
    </row>
    <row r="284" spans="1:11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  <c r="H284" s="23">
        <f t="shared" si="16"/>
        <v>5.0400000000000009</v>
      </c>
      <c r="I284">
        <f t="shared" si="19"/>
        <v>491.34000000000015</v>
      </c>
      <c r="J284">
        <f t="shared" si="17"/>
        <v>0</v>
      </c>
      <c r="K284">
        <f t="shared" si="18"/>
        <v>0</v>
      </c>
    </row>
    <row r="285" spans="1:11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  <c r="H285" s="23">
        <f t="shared" si="16"/>
        <v>4.9099999999999993</v>
      </c>
      <c r="I285">
        <f t="shared" si="19"/>
        <v>491.29600000000016</v>
      </c>
      <c r="J285">
        <f t="shared" si="17"/>
        <v>0</v>
      </c>
      <c r="K285">
        <f t="shared" si="18"/>
        <v>0</v>
      </c>
    </row>
    <row r="286" spans="1:11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  <c r="H286" s="23">
        <f t="shared" si="16"/>
        <v>4.2399999999999993</v>
      </c>
      <c r="I286">
        <f t="shared" si="19"/>
        <v>492.10400000000016</v>
      </c>
      <c r="J286">
        <f t="shared" si="17"/>
        <v>0</v>
      </c>
      <c r="K286">
        <f t="shared" si="18"/>
        <v>0</v>
      </c>
    </row>
    <row r="287" spans="1:11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  <c r="H287" s="23">
        <f t="shared" si="16"/>
        <v>4.54</v>
      </c>
      <c r="I287">
        <f t="shared" si="19"/>
        <v>490.93800000000016</v>
      </c>
      <c r="J287">
        <f t="shared" si="17"/>
        <v>0</v>
      </c>
      <c r="K287">
        <f t="shared" si="18"/>
        <v>0</v>
      </c>
    </row>
    <row r="288" spans="1:11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  <c r="H288" s="23">
        <f t="shared" si="16"/>
        <v>7.37</v>
      </c>
      <c r="I288">
        <f t="shared" si="19"/>
        <v>491.65800000000019</v>
      </c>
      <c r="J288">
        <f t="shared" si="17"/>
        <v>0</v>
      </c>
      <c r="K288">
        <f t="shared" si="18"/>
        <v>0</v>
      </c>
    </row>
    <row r="289" spans="1:11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  <c r="H289" s="23">
        <f t="shared" si="16"/>
        <v>7.3100000000000005</v>
      </c>
      <c r="I289">
        <f t="shared" si="19"/>
        <v>492.33600000000018</v>
      </c>
      <c r="J289">
        <f t="shared" si="17"/>
        <v>0</v>
      </c>
      <c r="K289">
        <f t="shared" si="18"/>
        <v>0</v>
      </c>
    </row>
    <row r="290" spans="1:11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  <c r="H290" s="23">
        <f t="shared" si="16"/>
        <v>11.76</v>
      </c>
      <c r="I290">
        <f t="shared" si="19"/>
        <v>494.19200000000018</v>
      </c>
      <c r="J290">
        <f t="shared" si="17"/>
        <v>0</v>
      </c>
      <c r="K290">
        <f t="shared" si="18"/>
        <v>0</v>
      </c>
    </row>
    <row r="291" spans="1:11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  <c r="H291" s="23">
        <f t="shared" si="16"/>
        <v>7.3400000000000007</v>
      </c>
      <c r="I291">
        <f t="shared" si="19"/>
        <v>497.09800000000013</v>
      </c>
      <c r="J291">
        <f t="shared" si="17"/>
        <v>0</v>
      </c>
      <c r="K291">
        <f t="shared" si="18"/>
        <v>0</v>
      </c>
    </row>
    <row r="292" spans="1:11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  <c r="H292" s="23">
        <f t="shared" si="16"/>
        <v>4.4400000000000004</v>
      </c>
      <c r="I292">
        <f t="shared" si="19"/>
        <v>495.52600000000012</v>
      </c>
      <c r="J292">
        <f t="shared" si="17"/>
        <v>0</v>
      </c>
      <c r="K292">
        <f t="shared" si="18"/>
        <v>0</v>
      </c>
    </row>
    <row r="293" spans="1:11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  <c r="H293" s="23">
        <f t="shared" si="16"/>
        <v>6.64</v>
      </c>
      <c r="I293">
        <f t="shared" si="19"/>
        <v>493.41200000000009</v>
      </c>
      <c r="J293">
        <f t="shared" si="17"/>
        <v>0</v>
      </c>
      <c r="K293">
        <f t="shared" si="18"/>
        <v>0</v>
      </c>
    </row>
    <row r="294" spans="1:11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  <c r="H294" s="23">
        <f t="shared" si="16"/>
        <v>7.3700000000000019</v>
      </c>
      <c r="I294">
        <f t="shared" si="19"/>
        <v>494.3300000000001</v>
      </c>
      <c r="J294">
        <f t="shared" si="17"/>
        <v>0</v>
      </c>
      <c r="K294">
        <f t="shared" si="18"/>
        <v>0</v>
      </c>
    </row>
    <row r="295" spans="1:11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  <c r="H295" s="23">
        <f t="shared" si="16"/>
        <v>4.83</v>
      </c>
      <c r="I295">
        <f t="shared" si="19"/>
        <v>494.00200000000007</v>
      </c>
      <c r="J295">
        <f t="shared" si="17"/>
        <v>0</v>
      </c>
      <c r="K295">
        <f t="shared" si="18"/>
        <v>0</v>
      </c>
    </row>
    <row r="296" spans="1:11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  <c r="H296" s="23">
        <f t="shared" si="16"/>
        <v>9.18</v>
      </c>
      <c r="I296">
        <f t="shared" si="19"/>
        <v>496.70400000000006</v>
      </c>
      <c r="J296">
        <f t="shared" si="17"/>
        <v>0</v>
      </c>
      <c r="K296">
        <f t="shared" si="18"/>
        <v>0</v>
      </c>
    </row>
    <row r="297" spans="1:11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  <c r="H297" s="23">
        <f t="shared" si="16"/>
        <v>7.1700000000000008</v>
      </c>
      <c r="I297">
        <f t="shared" si="19"/>
        <v>493.1760000000001</v>
      </c>
      <c r="J297">
        <f t="shared" si="17"/>
        <v>0</v>
      </c>
      <c r="K297">
        <f t="shared" si="18"/>
        <v>0</v>
      </c>
    </row>
    <row r="298" spans="1:11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  <c r="H298" s="23">
        <f t="shared" si="16"/>
        <v>9.69</v>
      </c>
      <c r="I298">
        <f t="shared" si="19"/>
        <v>494.59600000000006</v>
      </c>
      <c r="J298">
        <f t="shared" si="17"/>
        <v>0</v>
      </c>
      <c r="K298">
        <f t="shared" si="18"/>
        <v>0</v>
      </c>
    </row>
    <row r="299" spans="1:11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  <c r="H299" s="23">
        <f t="shared" si="16"/>
        <v>6.620000000000001</v>
      </c>
      <c r="I299">
        <f t="shared" si="19"/>
        <v>492.05000000000007</v>
      </c>
      <c r="J299">
        <f t="shared" si="17"/>
        <v>0</v>
      </c>
      <c r="K299">
        <f t="shared" si="18"/>
        <v>0</v>
      </c>
    </row>
    <row r="300" spans="1:11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  <c r="H300" s="23">
        <f t="shared" si="16"/>
        <v>4.84</v>
      </c>
      <c r="I300">
        <f t="shared" si="19"/>
        <v>489.05800000000011</v>
      </c>
      <c r="J300">
        <f t="shared" si="17"/>
        <v>0</v>
      </c>
      <c r="K300">
        <f t="shared" si="18"/>
        <v>0</v>
      </c>
    </row>
    <row r="301" spans="1:11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  <c r="H301" s="23">
        <f t="shared" si="16"/>
        <v>8.27</v>
      </c>
      <c r="I301">
        <f t="shared" si="19"/>
        <v>489.15000000000015</v>
      </c>
      <c r="J301">
        <f t="shared" si="17"/>
        <v>0</v>
      </c>
      <c r="K301">
        <f t="shared" si="18"/>
        <v>0</v>
      </c>
    </row>
    <row r="302" spans="1:11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  <c r="H302" s="23">
        <f t="shared" si="16"/>
        <v>7.16</v>
      </c>
      <c r="I302">
        <f t="shared" si="19"/>
        <v>489.65400000000017</v>
      </c>
      <c r="J302">
        <f t="shared" si="17"/>
        <v>0</v>
      </c>
      <c r="K302">
        <f t="shared" si="18"/>
        <v>0</v>
      </c>
    </row>
    <row r="303" spans="1:11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  <c r="H303" s="23">
        <f t="shared" si="16"/>
        <v>4.0200000000000005</v>
      </c>
      <c r="I303">
        <f t="shared" si="19"/>
        <v>489.60600000000017</v>
      </c>
      <c r="J303">
        <f t="shared" si="17"/>
        <v>0</v>
      </c>
      <c r="K303">
        <f t="shared" si="18"/>
        <v>0</v>
      </c>
    </row>
    <row r="304" spans="1:11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  <c r="H304" s="23">
        <f t="shared" si="16"/>
        <v>5.3999999999999986</v>
      </c>
      <c r="I304">
        <f t="shared" si="19"/>
        <v>488.94000000000017</v>
      </c>
      <c r="J304">
        <f t="shared" si="17"/>
        <v>0</v>
      </c>
      <c r="K304">
        <f t="shared" si="18"/>
        <v>0</v>
      </c>
    </row>
    <row r="305" spans="1:11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  <c r="H305" s="23">
        <f t="shared" si="16"/>
        <v>4.67</v>
      </c>
      <c r="I305">
        <f t="shared" si="19"/>
        <v>486.0660000000002</v>
      </c>
      <c r="J305">
        <f t="shared" si="17"/>
        <v>0</v>
      </c>
      <c r="K305">
        <f t="shared" si="18"/>
        <v>0</v>
      </c>
    </row>
    <row r="306" spans="1:11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  <c r="H306" s="23">
        <f t="shared" si="16"/>
        <v>5.74</v>
      </c>
      <c r="I306">
        <f t="shared" si="19"/>
        <v>481.44200000000023</v>
      </c>
      <c r="J306">
        <f t="shared" si="17"/>
        <v>0</v>
      </c>
      <c r="K306">
        <f t="shared" si="18"/>
        <v>0</v>
      </c>
    </row>
    <row r="307" spans="1:11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  <c r="H307" s="23">
        <f t="shared" si="16"/>
        <v>4.4699999999999989</v>
      </c>
      <c r="I307">
        <f t="shared" si="19"/>
        <v>481.94800000000026</v>
      </c>
      <c r="J307">
        <f t="shared" si="17"/>
        <v>0</v>
      </c>
      <c r="K307">
        <f t="shared" si="18"/>
        <v>0</v>
      </c>
    </row>
    <row r="308" spans="1:11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  <c r="H308" s="23">
        <f t="shared" si="16"/>
        <v>7.1800000000000015</v>
      </c>
      <c r="I308">
        <f t="shared" si="19"/>
        <v>478.53000000000026</v>
      </c>
      <c r="J308">
        <f t="shared" si="17"/>
        <v>0</v>
      </c>
      <c r="K308">
        <f t="shared" si="18"/>
        <v>0</v>
      </c>
    </row>
    <row r="309" spans="1:11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  <c r="H309" s="23">
        <f t="shared" si="16"/>
        <v>5.27</v>
      </c>
      <c r="I309">
        <f t="shared" si="19"/>
        <v>477.23200000000026</v>
      </c>
      <c r="J309">
        <f t="shared" si="17"/>
        <v>0</v>
      </c>
      <c r="K309">
        <f t="shared" si="18"/>
        <v>0</v>
      </c>
    </row>
    <row r="310" spans="1:11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  <c r="H310" s="23">
        <f t="shared" si="16"/>
        <v>6.8600000000000012</v>
      </c>
      <c r="I310">
        <f t="shared" si="19"/>
        <v>474.83200000000028</v>
      </c>
      <c r="J310">
        <f t="shared" si="17"/>
        <v>0</v>
      </c>
      <c r="K310">
        <f t="shared" si="18"/>
        <v>0</v>
      </c>
    </row>
    <row r="311" spans="1:11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  <c r="H311" s="23">
        <f t="shared" si="16"/>
        <v>7.5600000000000005</v>
      </c>
      <c r="I311">
        <f t="shared" si="19"/>
        <v>474.2540000000003</v>
      </c>
      <c r="J311">
        <f t="shared" si="17"/>
        <v>0</v>
      </c>
      <c r="K311">
        <f t="shared" si="18"/>
        <v>0</v>
      </c>
    </row>
    <row r="312" spans="1:11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  <c r="H312" s="23">
        <f t="shared" si="16"/>
        <v>4.3400000000000007</v>
      </c>
      <c r="I312">
        <f t="shared" si="19"/>
        <v>473.34200000000027</v>
      </c>
      <c r="J312">
        <f t="shared" si="17"/>
        <v>0</v>
      </c>
      <c r="K312">
        <f t="shared" si="18"/>
        <v>0</v>
      </c>
    </row>
    <row r="313" spans="1:11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  <c r="H313" s="23">
        <f t="shared" si="16"/>
        <v>6.01</v>
      </c>
      <c r="I313">
        <f t="shared" si="19"/>
        <v>472.11600000000027</v>
      </c>
      <c r="J313">
        <f t="shared" si="17"/>
        <v>0</v>
      </c>
      <c r="K313">
        <f t="shared" si="18"/>
        <v>0</v>
      </c>
    </row>
    <row r="314" spans="1:11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  <c r="H314" s="23">
        <f t="shared" si="16"/>
        <v>4.4499999999999993</v>
      </c>
      <c r="I314">
        <f t="shared" si="19"/>
        <v>470.47600000000028</v>
      </c>
      <c r="J314">
        <f t="shared" si="17"/>
        <v>0</v>
      </c>
      <c r="K314">
        <f t="shared" si="18"/>
        <v>0</v>
      </c>
    </row>
    <row r="315" spans="1:11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  <c r="H315" s="23">
        <f t="shared" si="16"/>
        <v>9.5299999999999976</v>
      </c>
      <c r="I315">
        <f t="shared" si="19"/>
        <v>471.58400000000029</v>
      </c>
      <c r="J315">
        <f t="shared" si="17"/>
        <v>0</v>
      </c>
      <c r="K315">
        <f t="shared" si="18"/>
        <v>0</v>
      </c>
    </row>
    <row r="316" spans="1:11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  <c r="H316" s="23">
        <f t="shared" si="16"/>
        <v>6.5</v>
      </c>
      <c r="I316">
        <f t="shared" si="19"/>
        <v>469.73600000000033</v>
      </c>
      <c r="J316">
        <f t="shared" si="17"/>
        <v>0</v>
      </c>
      <c r="K316">
        <f t="shared" si="18"/>
        <v>0</v>
      </c>
    </row>
    <row r="317" spans="1:11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  <c r="H317" s="23">
        <f t="shared" si="16"/>
        <v>6.35</v>
      </c>
      <c r="I317">
        <f t="shared" si="19"/>
        <v>467.43800000000033</v>
      </c>
      <c r="J317">
        <f t="shared" si="17"/>
        <v>0</v>
      </c>
      <c r="K317">
        <f t="shared" si="18"/>
        <v>0</v>
      </c>
    </row>
    <row r="318" spans="1:11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  <c r="H318" s="23">
        <f t="shared" si="16"/>
        <v>5.3300000000000018</v>
      </c>
      <c r="I318">
        <f t="shared" si="19"/>
        <v>465.66400000000033</v>
      </c>
      <c r="J318">
        <f t="shared" si="17"/>
        <v>0</v>
      </c>
      <c r="K318">
        <f t="shared" si="18"/>
        <v>0</v>
      </c>
    </row>
    <row r="319" spans="1:11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  <c r="H319" s="23">
        <f t="shared" si="16"/>
        <v>7.1900000000000013</v>
      </c>
      <c r="I319">
        <f t="shared" si="19"/>
        <v>463.07600000000031</v>
      </c>
      <c r="J319">
        <f t="shared" si="17"/>
        <v>0</v>
      </c>
      <c r="K319">
        <f t="shared" si="18"/>
        <v>0</v>
      </c>
    </row>
    <row r="320" spans="1:11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  <c r="H320" s="23">
        <f t="shared" si="16"/>
        <v>7.46</v>
      </c>
      <c r="I320">
        <f t="shared" si="19"/>
        <v>456.91600000000028</v>
      </c>
      <c r="J320">
        <f t="shared" si="17"/>
        <v>0</v>
      </c>
      <c r="K320">
        <f t="shared" si="18"/>
        <v>0</v>
      </c>
    </row>
    <row r="321" spans="1:11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  <c r="H321" s="23">
        <f t="shared" si="16"/>
        <v>5.25</v>
      </c>
      <c r="I321">
        <f t="shared" si="19"/>
        <v>453.15000000000032</v>
      </c>
      <c r="J321">
        <f t="shared" si="17"/>
        <v>0</v>
      </c>
      <c r="K321">
        <f t="shared" si="18"/>
        <v>0</v>
      </c>
    </row>
    <row r="322" spans="1:11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  <c r="H322" s="23">
        <f t="shared" si="16"/>
        <v>5.5100000000000007</v>
      </c>
      <c r="I322">
        <f t="shared" si="19"/>
        <v>451.44600000000031</v>
      </c>
      <c r="J322">
        <f t="shared" si="17"/>
        <v>0</v>
      </c>
      <c r="K322">
        <f t="shared" si="18"/>
        <v>0</v>
      </c>
    </row>
    <row r="323" spans="1:11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  <c r="H323" s="23">
        <f t="shared" ref="H323:H366" si="20">G323+E323-F323</f>
        <v>5.1099999999999994</v>
      </c>
      <c r="I323">
        <f t="shared" si="19"/>
        <v>449.67000000000036</v>
      </c>
      <c r="J323">
        <f t="shared" ref="J323:J366" si="21">IF(I323&lt;50,1,0)</f>
        <v>0</v>
      </c>
      <c r="K323">
        <f t="shared" ref="K323:K366" si="22">IF(I323&lt;0,1,0)</f>
        <v>0</v>
      </c>
    </row>
    <row r="324" spans="1:11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  <c r="H324" s="23">
        <f t="shared" si="20"/>
        <v>4.26</v>
      </c>
      <c r="I324">
        <f t="shared" ref="I324:I366" si="23">I323+F324*0.8-G324</f>
        <v>448.59800000000035</v>
      </c>
      <c r="J324">
        <f t="shared" si="21"/>
        <v>0</v>
      </c>
      <c r="K324">
        <f t="shared" si="22"/>
        <v>0</v>
      </c>
    </row>
    <row r="325" spans="1:11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  <c r="H325" s="23">
        <f t="shared" si="20"/>
        <v>5.01</v>
      </c>
      <c r="I325">
        <f t="shared" si="23"/>
        <v>448.71400000000034</v>
      </c>
      <c r="J325">
        <f t="shared" si="21"/>
        <v>0</v>
      </c>
      <c r="K325">
        <f t="shared" si="22"/>
        <v>0</v>
      </c>
    </row>
    <row r="326" spans="1:11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  <c r="H326" s="23">
        <f t="shared" si="20"/>
        <v>5.1300000000000008</v>
      </c>
      <c r="I326">
        <f t="shared" si="23"/>
        <v>446.32200000000034</v>
      </c>
      <c r="J326">
        <f t="shared" si="21"/>
        <v>0</v>
      </c>
      <c r="K326">
        <f t="shared" si="22"/>
        <v>0</v>
      </c>
    </row>
    <row r="327" spans="1:11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  <c r="H327" s="23">
        <f t="shared" si="20"/>
        <v>5.3000000000000007</v>
      </c>
      <c r="I327">
        <f t="shared" si="23"/>
        <v>444.44000000000034</v>
      </c>
      <c r="J327">
        <f t="shared" si="21"/>
        <v>0</v>
      </c>
      <c r="K327">
        <f t="shared" si="22"/>
        <v>0</v>
      </c>
    </row>
    <row r="328" spans="1:11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  <c r="H328" s="23">
        <f t="shared" si="20"/>
        <v>6.92</v>
      </c>
      <c r="I328">
        <f t="shared" si="23"/>
        <v>440.21800000000036</v>
      </c>
      <c r="J328">
        <f t="shared" si="21"/>
        <v>0</v>
      </c>
      <c r="K328">
        <f t="shared" si="22"/>
        <v>0</v>
      </c>
    </row>
    <row r="329" spans="1:11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  <c r="H329" s="23">
        <f t="shared" si="20"/>
        <v>5.97</v>
      </c>
      <c r="I329">
        <f t="shared" si="23"/>
        <v>437.15400000000034</v>
      </c>
      <c r="J329">
        <f t="shared" si="21"/>
        <v>0</v>
      </c>
      <c r="K329">
        <f t="shared" si="22"/>
        <v>0</v>
      </c>
    </row>
    <row r="330" spans="1:11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  <c r="H330" s="23">
        <f t="shared" si="20"/>
        <v>6.3</v>
      </c>
      <c r="I330">
        <f t="shared" si="23"/>
        <v>433.08200000000033</v>
      </c>
      <c r="J330">
        <f t="shared" si="21"/>
        <v>0</v>
      </c>
      <c r="K330">
        <f t="shared" si="22"/>
        <v>0</v>
      </c>
    </row>
    <row r="331" spans="1:11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  <c r="H331" s="23">
        <f t="shared" si="20"/>
        <v>8.77</v>
      </c>
      <c r="I331">
        <f t="shared" si="23"/>
        <v>427.93000000000035</v>
      </c>
      <c r="J331">
        <f t="shared" si="21"/>
        <v>0</v>
      </c>
      <c r="K331">
        <f t="shared" si="22"/>
        <v>0</v>
      </c>
    </row>
    <row r="332" spans="1:11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  <c r="H332" s="23">
        <f t="shared" si="20"/>
        <v>6.03</v>
      </c>
      <c r="I332">
        <f t="shared" si="23"/>
        <v>423.6460000000003</v>
      </c>
      <c r="J332">
        <f t="shared" si="21"/>
        <v>0</v>
      </c>
      <c r="K332">
        <f t="shared" si="22"/>
        <v>0</v>
      </c>
    </row>
    <row r="333" spans="1:11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  <c r="H333" s="23">
        <f t="shared" si="20"/>
        <v>6.15</v>
      </c>
      <c r="I333">
        <f t="shared" si="23"/>
        <v>419.00200000000029</v>
      </c>
      <c r="J333">
        <f t="shared" si="21"/>
        <v>0</v>
      </c>
      <c r="K333">
        <f t="shared" si="22"/>
        <v>0</v>
      </c>
    </row>
    <row r="334" spans="1:11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  <c r="H334" s="23">
        <f t="shared" si="20"/>
        <v>5.0199999999999996</v>
      </c>
      <c r="I334">
        <f t="shared" si="23"/>
        <v>415.26800000000031</v>
      </c>
      <c r="J334">
        <f t="shared" si="21"/>
        <v>0</v>
      </c>
      <c r="K334">
        <f t="shared" si="22"/>
        <v>0</v>
      </c>
    </row>
    <row r="335" spans="1:11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  <c r="H335" s="23">
        <f t="shared" si="20"/>
        <v>8.16</v>
      </c>
      <c r="I335">
        <f t="shared" si="23"/>
        <v>408.24800000000033</v>
      </c>
      <c r="J335">
        <f t="shared" si="21"/>
        <v>0</v>
      </c>
      <c r="K335">
        <f t="shared" si="22"/>
        <v>0</v>
      </c>
    </row>
    <row r="336" spans="1:11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  <c r="H336" s="23">
        <f t="shared" si="20"/>
        <v>7.52</v>
      </c>
      <c r="I336">
        <f t="shared" si="23"/>
        <v>403.00600000000037</v>
      </c>
      <c r="J336">
        <f t="shared" si="21"/>
        <v>0</v>
      </c>
      <c r="K336">
        <f t="shared" si="22"/>
        <v>0</v>
      </c>
    </row>
    <row r="337" spans="1:11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  <c r="H337" s="23">
        <f t="shared" si="20"/>
        <v>6.6400000000000006</v>
      </c>
      <c r="I337">
        <f t="shared" si="23"/>
        <v>398.41600000000034</v>
      </c>
      <c r="J337">
        <f t="shared" si="21"/>
        <v>0</v>
      </c>
      <c r="K337">
        <f t="shared" si="22"/>
        <v>0</v>
      </c>
    </row>
    <row r="338" spans="1:11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  <c r="H338" s="23">
        <f t="shared" si="20"/>
        <v>5.9</v>
      </c>
      <c r="I338">
        <f t="shared" si="23"/>
        <v>395.39400000000035</v>
      </c>
      <c r="J338">
        <f t="shared" si="21"/>
        <v>0</v>
      </c>
      <c r="K338">
        <f t="shared" si="22"/>
        <v>0</v>
      </c>
    </row>
    <row r="339" spans="1:11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  <c r="H339" s="23">
        <f t="shared" si="20"/>
        <v>5.94</v>
      </c>
      <c r="I339">
        <f t="shared" si="23"/>
        <v>390.66600000000034</v>
      </c>
      <c r="J339">
        <f t="shared" si="21"/>
        <v>0</v>
      </c>
      <c r="K339">
        <f t="shared" si="22"/>
        <v>0</v>
      </c>
    </row>
    <row r="340" spans="1:11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  <c r="H340" s="23">
        <f t="shared" si="20"/>
        <v>7.0299999999999994</v>
      </c>
      <c r="I340">
        <f t="shared" si="23"/>
        <v>386.01800000000031</v>
      </c>
      <c r="J340">
        <f t="shared" si="21"/>
        <v>0</v>
      </c>
      <c r="K340">
        <f t="shared" si="22"/>
        <v>0</v>
      </c>
    </row>
    <row r="341" spans="1:11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  <c r="H341" s="23">
        <f t="shared" si="20"/>
        <v>6.51</v>
      </c>
      <c r="I341">
        <f t="shared" si="23"/>
        <v>381.5860000000003</v>
      </c>
      <c r="J341">
        <f t="shared" si="21"/>
        <v>0</v>
      </c>
      <c r="K341">
        <f t="shared" si="22"/>
        <v>0</v>
      </c>
    </row>
    <row r="342" spans="1:11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  <c r="H342" s="23">
        <f t="shared" si="20"/>
        <v>7.5500000000000007</v>
      </c>
      <c r="I342">
        <f t="shared" si="23"/>
        <v>376.8360000000003</v>
      </c>
      <c r="J342">
        <f t="shared" si="21"/>
        <v>0</v>
      </c>
      <c r="K342">
        <f t="shared" si="22"/>
        <v>0</v>
      </c>
    </row>
    <row r="343" spans="1:11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  <c r="H343" s="23">
        <f t="shared" si="20"/>
        <v>5.85</v>
      </c>
      <c r="I343">
        <f t="shared" si="23"/>
        <v>373.5380000000003</v>
      </c>
      <c r="J343">
        <f t="shared" si="21"/>
        <v>0</v>
      </c>
      <c r="K343">
        <f t="shared" si="22"/>
        <v>0</v>
      </c>
    </row>
    <row r="344" spans="1:11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  <c r="H344" s="23">
        <f t="shared" si="20"/>
        <v>5.78</v>
      </c>
      <c r="I344">
        <f t="shared" si="23"/>
        <v>370.42400000000032</v>
      </c>
      <c r="J344">
        <f t="shared" si="21"/>
        <v>0</v>
      </c>
      <c r="K344">
        <f t="shared" si="22"/>
        <v>0</v>
      </c>
    </row>
    <row r="345" spans="1:11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  <c r="H345" s="23">
        <f t="shared" si="20"/>
        <v>6.7899999999999991</v>
      </c>
      <c r="I345">
        <f t="shared" si="23"/>
        <v>366.6820000000003</v>
      </c>
      <c r="J345">
        <f t="shared" si="21"/>
        <v>0</v>
      </c>
      <c r="K345">
        <f t="shared" si="22"/>
        <v>0</v>
      </c>
    </row>
    <row r="346" spans="1:11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  <c r="H346" s="23">
        <f t="shared" si="20"/>
        <v>6.65</v>
      </c>
      <c r="I346">
        <f t="shared" si="23"/>
        <v>361.97400000000033</v>
      </c>
      <c r="J346">
        <f t="shared" si="21"/>
        <v>0</v>
      </c>
      <c r="K346">
        <f t="shared" si="22"/>
        <v>0</v>
      </c>
    </row>
    <row r="347" spans="1:11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  <c r="H347" s="23">
        <f t="shared" si="20"/>
        <v>7.56</v>
      </c>
      <c r="I347">
        <f t="shared" si="23"/>
        <v>355.71400000000034</v>
      </c>
      <c r="J347">
        <f t="shared" si="21"/>
        <v>0</v>
      </c>
      <c r="K347">
        <f t="shared" si="22"/>
        <v>0</v>
      </c>
    </row>
    <row r="348" spans="1:11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  <c r="H348" s="23">
        <f t="shared" si="20"/>
        <v>7.1300000000000008</v>
      </c>
      <c r="I348">
        <f t="shared" si="23"/>
        <v>350.41000000000031</v>
      </c>
      <c r="J348">
        <f t="shared" si="21"/>
        <v>0</v>
      </c>
      <c r="K348">
        <f t="shared" si="22"/>
        <v>0</v>
      </c>
    </row>
    <row r="349" spans="1:11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  <c r="H349" s="23">
        <f t="shared" si="20"/>
        <v>7.37</v>
      </c>
      <c r="I349">
        <f t="shared" si="23"/>
        <v>344.51200000000034</v>
      </c>
      <c r="J349">
        <f t="shared" si="21"/>
        <v>0</v>
      </c>
      <c r="K349">
        <f t="shared" si="22"/>
        <v>0</v>
      </c>
    </row>
    <row r="350" spans="1:11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  <c r="H350" s="23">
        <f t="shared" si="20"/>
        <v>8.4799999999999986</v>
      </c>
      <c r="I350">
        <f t="shared" si="23"/>
        <v>339.78400000000033</v>
      </c>
      <c r="J350">
        <f t="shared" si="21"/>
        <v>0</v>
      </c>
      <c r="K350">
        <f t="shared" si="22"/>
        <v>0</v>
      </c>
    </row>
    <row r="351" spans="1:11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  <c r="H351" s="23">
        <f t="shared" si="20"/>
        <v>6.4600000000000009</v>
      </c>
      <c r="I351">
        <f t="shared" si="23"/>
        <v>335.31400000000036</v>
      </c>
      <c r="J351">
        <f t="shared" si="21"/>
        <v>0</v>
      </c>
      <c r="K351">
        <f t="shared" si="22"/>
        <v>0</v>
      </c>
    </row>
    <row r="352" spans="1:11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  <c r="H352" s="23">
        <f t="shared" si="20"/>
        <v>7.29</v>
      </c>
      <c r="I352">
        <f t="shared" si="23"/>
        <v>330.05400000000037</v>
      </c>
      <c r="J352">
        <f t="shared" si="21"/>
        <v>0</v>
      </c>
      <c r="K352">
        <f t="shared" si="22"/>
        <v>0</v>
      </c>
    </row>
    <row r="353" spans="1:11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  <c r="H353" s="23">
        <f t="shared" si="20"/>
        <v>7.1700000000000008</v>
      </c>
      <c r="I353">
        <f t="shared" si="23"/>
        <v>325.6440000000004</v>
      </c>
      <c r="J353">
        <f t="shared" si="21"/>
        <v>0</v>
      </c>
      <c r="K353">
        <f t="shared" si="22"/>
        <v>0</v>
      </c>
    </row>
    <row r="354" spans="1:11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  <c r="H354" s="23">
        <f t="shared" si="20"/>
        <v>6.97</v>
      </c>
      <c r="I354">
        <f t="shared" si="23"/>
        <v>319.86000000000035</v>
      </c>
      <c r="J354">
        <f t="shared" si="21"/>
        <v>0</v>
      </c>
      <c r="K354">
        <f t="shared" si="22"/>
        <v>0</v>
      </c>
    </row>
    <row r="355" spans="1:11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  <c r="H355" s="23">
        <f t="shared" si="20"/>
        <v>5.8599999999999994</v>
      </c>
      <c r="I355">
        <f t="shared" si="23"/>
        <v>315.52600000000035</v>
      </c>
      <c r="J355">
        <f t="shared" si="21"/>
        <v>0</v>
      </c>
      <c r="K355">
        <f t="shared" si="22"/>
        <v>0</v>
      </c>
    </row>
    <row r="356" spans="1:11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  <c r="H356" s="23">
        <f t="shared" si="20"/>
        <v>7.8400000000000007</v>
      </c>
      <c r="I356">
        <f t="shared" si="23"/>
        <v>309.4280000000004</v>
      </c>
      <c r="J356">
        <f t="shared" si="21"/>
        <v>0</v>
      </c>
      <c r="K356">
        <f t="shared" si="22"/>
        <v>0</v>
      </c>
    </row>
    <row r="357" spans="1:11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  <c r="H357" s="23">
        <f t="shared" si="20"/>
        <v>5.99</v>
      </c>
      <c r="I357">
        <f t="shared" si="23"/>
        <v>304.7140000000004</v>
      </c>
      <c r="J357">
        <f t="shared" si="21"/>
        <v>0</v>
      </c>
      <c r="K357">
        <f t="shared" si="22"/>
        <v>0</v>
      </c>
    </row>
    <row r="358" spans="1:11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  <c r="H358" s="23">
        <f t="shared" si="20"/>
        <v>6.44</v>
      </c>
      <c r="I358">
        <f t="shared" si="23"/>
        <v>301.17000000000041</v>
      </c>
      <c r="J358">
        <f t="shared" si="21"/>
        <v>0</v>
      </c>
      <c r="K358">
        <f t="shared" si="22"/>
        <v>0</v>
      </c>
    </row>
    <row r="359" spans="1:11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  <c r="H359" s="23">
        <f t="shared" si="20"/>
        <v>7.07</v>
      </c>
      <c r="I359">
        <f t="shared" si="23"/>
        <v>295.17200000000042</v>
      </c>
      <c r="J359">
        <f t="shared" si="21"/>
        <v>0</v>
      </c>
      <c r="K359">
        <f t="shared" si="22"/>
        <v>0</v>
      </c>
    </row>
    <row r="360" spans="1:11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  <c r="H360" s="23">
        <f t="shared" si="20"/>
        <v>6.01</v>
      </c>
      <c r="I360">
        <f t="shared" si="23"/>
        <v>291.87200000000041</v>
      </c>
      <c r="J360">
        <f t="shared" si="21"/>
        <v>0</v>
      </c>
      <c r="K360">
        <f t="shared" si="22"/>
        <v>0</v>
      </c>
    </row>
    <row r="361" spans="1:11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  <c r="H361" s="23">
        <f t="shared" si="20"/>
        <v>6.22</v>
      </c>
      <c r="I361">
        <f t="shared" si="23"/>
        <v>288.48400000000044</v>
      </c>
      <c r="J361">
        <f t="shared" si="21"/>
        <v>0</v>
      </c>
      <c r="K361">
        <f t="shared" si="22"/>
        <v>0</v>
      </c>
    </row>
    <row r="362" spans="1:11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  <c r="H362" s="23">
        <f t="shared" si="20"/>
        <v>5.8300000000000018</v>
      </c>
      <c r="I362">
        <f t="shared" si="23"/>
        <v>285.92200000000048</v>
      </c>
      <c r="J362">
        <f t="shared" si="21"/>
        <v>0</v>
      </c>
      <c r="K362">
        <f t="shared" si="22"/>
        <v>0</v>
      </c>
    </row>
    <row r="363" spans="1:11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  <c r="H363" s="23">
        <f t="shared" si="20"/>
        <v>5.37</v>
      </c>
      <c r="I363">
        <f t="shared" si="23"/>
        <v>282.02000000000049</v>
      </c>
      <c r="J363">
        <f t="shared" si="21"/>
        <v>0</v>
      </c>
      <c r="K363">
        <f t="shared" si="22"/>
        <v>0</v>
      </c>
    </row>
    <row r="364" spans="1:11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  <c r="H364" s="23">
        <f t="shared" si="20"/>
        <v>6.3599999999999994</v>
      </c>
      <c r="I364">
        <f t="shared" si="23"/>
        <v>276.82200000000051</v>
      </c>
      <c r="J364">
        <f t="shared" si="21"/>
        <v>0</v>
      </c>
      <c r="K364">
        <f t="shared" si="22"/>
        <v>0</v>
      </c>
    </row>
    <row r="365" spans="1:11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  <c r="H365" s="23">
        <f t="shared" si="20"/>
        <v>7.6</v>
      </c>
      <c r="I365">
        <f t="shared" si="23"/>
        <v>272.9380000000005</v>
      </c>
      <c r="J365">
        <f t="shared" si="21"/>
        <v>0</v>
      </c>
      <c r="K365">
        <f t="shared" si="22"/>
        <v>0</v>
      </c>
    </row>
    <row r="366" spans="1:11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  <c r="H366" s="23">
        <f t="shared" si="20"/>
        <v>6.9799999999999995</v>
      </c>
      <c r="I366">
        <f t="shared" si="23"/>
        <v>267.93200000000053</v>
      </c>
      <c r="J366">
        <f t="shared" si="21"/>
        <v>0</v>
      </c>
      <c r="K366">
        <f t="shared" si="22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774AF-7B7B-484E-B738-7666FC52A1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fotowoltaika</vt:lpstr>
      <vt:lpstr>zad1</vt:lpstr>
      <vt:lpstr>zad2</vt:lpstr>
      <vt:lpstr>zad3</vt:lpstr>
      <vt:lpstr>zad4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Hasse</dc:creator>
  <cp:lastModifiedBy>Lena Hasse</cp:lastModifiedBy>
  <dcterms:created xsi:type="dcterms:W3CDTF">2026-02-17T21:32:59Z</dcterms:created>
  <dcterms:modified xsi:type="dcterms:W3CDTF">2026-02-19T16:23:36Z</dcterms:modified>
</cp:coreProperties>
</file>