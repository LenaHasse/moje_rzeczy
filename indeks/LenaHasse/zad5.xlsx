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ura.vlo-30-06\Desktop\LenaHasse\"/>
    </mc:Choice>
  </mc:AlternateContent>
  <xr:revisionPtr revIDLastSave="0" documentId="13_ncr:1_{ECC99BC8-C36A-43DD-B3EB-6D6A60AED7B4}" xr6:coauthVersionLast="47" xr6:coauthVersionMax="47" xr10:uidLastSave="{00000000-0000-0000-0000-000000000000}"/>
  <bookViews>
    <workbookView xWindow="-120" yWindow="-120" windowWidth="29040" windowHeight="15720" xr2:uid="{05E36060-DF8E-4A2B-B756-134B07C2018E}"/>
  </bookViews>
  <sheets>
    <sheet name="Arkusz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" i="1"/>
  <c r="L2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" i="1"/>
  <c r="B360" i="1"/>
  <c r="F360" i="1" s="1"/>
  <c r="C360" i="1"/>
  <c r="D360" i="1"/>
  <c r="E360" i="1"/>
  <c r="G360" i="1"/>
  <c r="B361" i="1"/>
  <c r="C361" i="1"/>
  <c r="D361" i="1"/>
  <c r="E361" i="1"/>
  <c r="F361" i="1"/>
  <c r="G361" i="1"/>
  <c r="G362" i="1" s="1"/>
  <c r="G363" i="1" s="1"/>
  <c r="G364" i="1" s="1"/>
  <c r="G365" i="1" s="1"/>
  <c r="B362" i="1"/>
  <c r="C362" i="1"/>
  <c r="D362" i="1"/>
  <c r="E362" i="1"/>
  <c r="F362" i="1"/>
  <c r="B363" i="1"/>
  <c r="F363" i="1" s="1"/>
  <c r="C363" i="1"/>
  <c r="D363" i="1"/>
  <c r="E363" i="1"/>
  <c r="B364" i="1"/>
  <c r="F364" i="1" s="1"/>
  <c r="C364" i="1"/>
  <c r="D364" i="1"/>
  <c r="E364" i="1"/>
  <c r="B365" i="1"/>
  <c r="C365" i="1"/>
  <c r="D365" i="1"/>
  <c r="E365" i="1"/>
  <c r="F365" i="1"/>
  <c r="B366" i="1"/>
  <c r="C366" i="1"/>
  <c r="D366" i="1"/>
  <c r="E366" i="1"/>
  <c r="F366" i="1"/>
  <c r="B367" i="1"/>
  <c r="F367" i="1" s="1"/>
  <c r="C367" i="1"/>
  <c r="D367" i="1"/>
  <c r="E367" i="1"/>
  <c r="B368" i="1"/>
  <c r="F368" i="1" s="1"/>
  <c r="C368" i="1"/>
  <c r="D368" i="1"/>
  <c r="E368" i="1"/>
  <c r="B369" i="1"/>
  <c r="C369" i="1"/>
  <c r="D369" i="1"/>
  <c r="E369" i="1"/>
  <c r="F369" i="1"/>
  <c r="B370" i="1"/>
  <c r="C370" i="1"/>
  <c r="D370" i="1"/>
  <c r="E370" i="1"/>
  <c r="F370" i="1"/>
  <c r="I370" i="1"/>
  <c r="B371" i="1"/>
  <c r="F371" i="1" s="1"/>
  <c r="C371" i="1"/>
  <c r="D371" i="1"/>
  <c r="E371" i="1"/>
  <c r="B372" i="1"/>
  <c r="F372" i="1" s="1"/>
  <c r="C372" i="1"/>
  <c r="D372" i="1"/>
  <c r="E372" i="1"/>
  <c r="B373" i="1"/>
  <c r="C373" i="1"/>
  <c r="D373" i="1"/>
  <c r="E373" i="1"/>
  <c r="F373" i="1"/>
  <c r="B374" i="1"/>
  <c r="C374" i="1"/>
  <c r="D374" i="1"/>
  <c r="E374" i="1"/>
  <c r="F374" i="1"/>
  <c r="B375" i="1"/>
  <c r="F375" i="1" s="1"/>
  <c r="C375" i="1"/>
  <c r="D375" i="1"/>
  <c r="E375" i="1"/>
  <c r="B376" i="1"/>
  <c r="F376" i="1" s="1"/>
  <c r="C376" i="1"/>
  <c r="D376" i="1"/>
  <c r="E376" i="1"/>
  <c r="B339" i="1"/>
  <c r="C339" i="1"/>
  <c r="D339" i="1"/>
  <c r="E339" i="1"/>
  <c r="F339" i="1"/>
  <c r="I339" i="1" s="1"/>
  <c r="G339" i="1"/>
  <c r="G340" i="1" s="1"/>
  <c r="G341" i="1" s="1"/>
  <c r="G342" i="1" s="1"/>
  <c r="G343" i="1" s="1"/>
  <c r="H339" i="1"/>
  <c r="B340" i="1"/>
  <c r="F340" i="1" s="1"/>
  <c r="C340" i="1"/>
  <c r="D340" i="1"/>
  <c r="E340" i="1"/>
  <c r="B341" i="1"/>
  <c r="F341" i="1" s="1"/>
  <c r="C341" i="1"/>
  <c r="D341" i="1"/>
  <c r="E341" i="1"/>
  <c r="B342" i="1"/>
  <c r="F342" i="1" s="1"/>
  <c r="C342" i="1"/>
  <c r="D342" i="1"/>
  <c r="E342" i="1"/>
  <c r="B343" i="1"/>
  <c r="C343" i="1"/>
  <c r="D343" i="1"/>
  <c r="E343" i="1"/>
  <c r="F343" i="1"/>
  <c r="B344" i="1"/>
  <c r="F344" i="1" s="1"/>
  <c r="C344" i="1"/>
  <c r="D344" i="1"/>
  <c r="E344" i="1"/>
  <c r="B345" i="1"/>
  <c r="F345" i="1" s="1"/>
  <c r="C345" i="1"/>
  <c r="D345" i="1"/>
  <c r="E345" i="1"/>
  <c r="B346" i="1"/>
  <c r="F346" i="1" s="1"/>
  <c r="C346" i="1"/>
  <c r="D346" i="1"/>
  <c r="E346" i="1"/>
  <c r="B347" i="1"/>
  <c r="C347" i="1"/>
  <c r="D347" i="1"/>
  <c r="E347" i="1"/>
  <c r="F347" i="1"/>
  <c r="B348" i="1"/>
  <c r="F348" i="1" s="1"/>
  <c r="C348" i="1"/>
  <c r="D348" i="1"/>
  <c r="E348" i="1"/>
  <c r="B349" i="1"/>
  <c r="F349" i="1" s="1"/>
  <c r="C349" i="1"/>
  <c r="D349" i="1"/>
  <c r="E349" i="1"/>
  <c r="B350" i="1"/>
  <c r="F350" i="1" s="1"/>
  <c r="C350" i="1"/>
  <c r="D350" i="1"/>
  <c r="E350" i="1"/>
  <c r="B351" i="1"/>
  <c r="C351" i="1"/>
  <c r="D351" i="1"/>
  <c r="E351" i="1"/>
  <c r="F351" i="1"/>
  <c r="B352" i="1"/>
  <c r="F352" i="1" s="1"/>
  <c r="C352" i="1"/>
  <c r="D352" i="1"/>
  <c r="E352" i="1"/>
  <c r="B353" i="1"/>
  <c r="F353" i="1" s="1"/>
  <c r="C353" i="1"/>
  <c r="D353" i="1"/>
  <c r="E353" i="1"/>
  <c r="B354" i="1"/>
  <c r="F354" i="1" s="1"/>
  <c r="C354" i="1"/>
  <c r="D354" i="1"/>
  <c r="E354" i="1"/>
  <c r="B355" i="1"/>
  <c r="C355" i="1"/>
  <c r="D355" i="1"/>
  <c r="E355" i="1"/>
  <c r="F355" i="1"/>
  <c r="B356" i="1"/>
  <c r="F356" i="1" s="1"/>
  <c r="C356" i="1"/>
  <c r="D356" i="1"/>
  <c r="E356" i="1"/>
  <c r="B357" i="1"/>
  <c r="F357" i="1" s="1"/>
  <c r="C357" i="1"/>
  <c r="D357" i="1"/>
  <c r="E357" i="1"/>
  <c r="B358" i="1"/>
  <c r="F358" i="1" s="1"/>
  <c r="C358" i="1"/>
  <c r="D358" i="1"/>
  <c r="E358" i="1"/>
  <c r="B359" i="1"/>
  <c r="C359" i="1"/>
  <c r="D359" i="1"/>
  <c r="E359" i="1"/>
  <c r="F35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2" i="1"/>
  <c r="G16" i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B110" i="1"/>
  <c r="F110" i="1" s="1"/>
  <c r="C110" i="1"/>
  <c r="D110" i="1"/>
  <c r="E110" i="1"/>
  <c r="B111" i="1"/>
  <c r="F111" i="1" s="1"/>
  <c r="C111" i="1"/>
  <c r="D111" i="1"/>
  <c r="E111" i="1"/>
  <c r="B112" i="1"/>
  <c r="F112" i="1" s="1"/>
  <c r="C112" i="1"/>
  <c r="D112" i="1"/>
  <c r="E112" i="1"/>
  <c r="B113" i="1"/>
  <c r="F113" i="1" s="1"/>
  <c r="C113" i="1"/>
  <c r="D113" i="1"/>
  <c r="E113" i="1"/>
  <c r="B114" i="1"/>
  <c r="F114" i="1" s="1"/>
  <c r="C114" i="1"/>
  <c r="D114" i="1"/>
  <c r="E114" i="1"/>
  <c r="B115" i="1"/>
  <c r="F115" i="1" s="1"/>
  <c r="C115" i="1"/>
  <c r="D115" i="1"/>
  <c r="E115" i="1"/>
  <c r="B116" i="1"/>
  <c r="F116" i="1" s="1"/>
  <c r="C116" i="1"/>
  <c r="D116" i="1"/>
  <c r="E116" i="1"/>
  <c r="B117" i="1"/>
  <c r="F117" i="1" s="1"/>
  <c r="C117" i="1"/>
  <c r="D117" i="1"/>
  <c r="E117" i="1"/>
  <c r="B118" i="1"/>
  <c r="F118" i="1" s="1"/>
  <c r="C118" i="1"/>
  <c r="D118" i="1"/>
  <c r="E118" i="1"/>
  <c r="B119" i="1"/>
  <c r="F119" i="1" s="1"/>
  <c r="C119" i="1"/>
  <c r="D119" i="1"/>
  <c r="E119" i="1"/>
  <c r="B120" i="1"/>
  <c r="F120" i="1" s="1"/>
  <c r="C120" i="1"/>
  <c r="D120" i="1"/>
  <c r="E120" i="1"/>
  <c r="B121" i="1"/>
  <c r="F121" i="1" s="1"/>
  <c r="C121" i="1"/>
  <c r="D121" i="1"/>
  <c r="E121" i="1"/>
  <c r="B122" i="1"/>
  <c r="F122" i="1" s="1"/>
  <c r="C122" i="1"/>
  <c r="D122" i="1"/>
  <c r="E122" i="1"/>
  <c r="B123" i="1"/>
  <c r="F123" i="1" s="1"/>
  <c r="C123" i="1"/>
  <c r="D123" i="1"/>
  <c r="E123" i="1"/>
  <c r="B124" i="1"/>
  <c r="F124" i="1" s="1"/>
  <c r="C124" i="1"/>
  <c r="D124" i="1"/>
  <c r="E124" i="1"/>
  <c r="B125" i="1"/>
  <c r="F125" i="1" s="1"/>
  <c r="C125" i="1"/>
  <c r="D125" i="1"/>
  <c r="E125" i="1"/>
  <c r="B126" i="1"/>
  <c r="F126" i="1" s="1"/>
  <c r="C126" i="1"/>
  <c r="D126" i="1"/>
  <c r="E126" i="1"/>
  <c r="B127" i="1"/>
  <c r="F127" i="1" s="1"/>
  <c r="C127" i="1"/>
  <c r="D127" i="1"/>
  <c r="E127" i="1"/>
  <c r="B128" i="1"/>
  <c r="F128" i="1" s="1"/>
  <c r="C128" i="1"/>
  <c r="D128" i="1"/>
  <c r="E128" i="1"/>
  <c r="B129" i="1"/>
  <c r="F129" i="1" s="1"/>
  <c r="C129" i="1"/>
  <c r="D129" i="1"/>
  <c r="E129" i="1"/>
  <c r="B130" i="1"/>
  <c r="F130" i="1" s="1"/>
  <c r="C130" i="1"/>
  <c r="D130" i="1"/>
  <c r="E130" i="1"/>
  <c r="B131" i="1"/>
  <c r="F131" i="1" s="1"/>
  <c r="C131" i="1"/>
  <c r="D131" i="1"/>
  <c r="E131" i="1"/>
  <c r="B132" i="1"/>
  <c r="F132" i="1" s="1"/>
  <c r="C132" i="1"/>
  <c r="D132" i="1"/>
  <c r="E132" i="1"/>
  <c r="B133" i="1"/>
  <c r="F133" i="1" s="1"/>
  <c r="C133" i="1"/>
  <c r="D133" i="1"/>
  <c r="E133" i="1"/>
  <c r="B134" i="1"/>
  <c r="F134" i="1" s="1"/>
  <c r="C134" i="1"/>
  <c r="D134" i="1"/>
  <c r="E134" i="1"/>
  <c r="B135" i="1"/>
  <c r="F135" i="1" s="1"/>
  <c r="C135" i="1"/>
  <c r="D135" i="1"/>
  <c r="E135" i="1"/>
  <c r="B136" i="1"/>
  <c r="F136" i="1" s="1"/>
  <c r="C136" i="1"/>
  <c r="D136" i="1"/>
  <c r="E136" i="1"/>
  <c r="B137" i="1"/>
  <c r="F137" i="1" s="1"/>
  <c r="C137" i="1"/>
  <c r="D137" i="1"/>
  <c r="E137" i="1"/>
  <c r="B138" i="1"/>
  <c r="F138" i="1" s="1"/>
  <c r="C138" i="1"/>
  <c r="D138" i="1"/>
  <c r="E138" i="1"/>
  <c r="B139" i="1"/>
  <c r="F139" i="1" s="1"/>
  <c r="C139" i="1"/>
  <c r="D139" i="1"/>
  <c r="E139" i="1"/>
  <c r="B140" i="1"/>
  <c r="F140" i="1" s="1"/>
  <c r="C140" i="1"/>
  <c r="D140" i="1"/>
  <c r="E140" i="1"/>
  <c r="B141" i="1"/>
  <c r="F141" i="1" s="1"/>
  <c r="C141" i="1"/>
  <c r="D141" i="1"/>
  <c r="E141" i="1"/>
  <c r="B142" i="1"/>
  <c r="F142" i="1" s="1"/>
  <c r="C142" i="1"/>
  <c r="D142" i="1"/>
  <c r="E142" i="1"/>
  <c r="B143" i="1"/>
  <c r="F143" i="1" s="1"/>
  <c r="C143" i="1"/>
  <c r="D143" i="1"/>
  <c r="E143" i="1"/>
  <c r="B144" i="1"/>
  <c r="F144" i="1" s="1"/>
  <c r="C144" i="1"/>
  <c r="D144" i="1"/>
  <c r="E144" i="1"/>
  <c r="B145" i="1"/>
  <c r="F145" i="1" s="1"/>
  <c r="C145" i="1"/>
  <c r="D145" i="1"/>
  <c r="E145" i="1"/>
  <c r="B146" i="1"/>
  <c r="F146" i="1" s="1"/>
  <c r="C146" i="1"/>
  <c r="D146" i="1"/>
  <c r="E146" i="1"/>
  <c r="B147" i="1"/>
  <c r="F147" i="1" s="1"/>
  <c r="C147" i="1"/>
  <c r="D147" i="1"/>
  <c r="E147" i="1"/>
  <c r="B148" i="1"/>
  <c r="F148" i="1" s="1"/>
  <c r="C148" i="1"/>
  <c r="D148" i="1"/>
  <c r="E148" i="1"/>
  <c r="B149" i="1"/>
  <c r="F149" i="1" s="1"/>
  <c r="C149" i="1"/>
  <c r="D149" i="1"/>
  <c r="E149" i="1"/>
  <c r="B150" i="1"/>
  <c r="F150" i="1" s="1"/>
  <c r="C150" i="1"/>
  <c r="D150" i="1"/>
  <c r="E150" i="1"/>
  <c r="B151" i="1"/>
  <c r="F151" i="1" s="1"/>
  <c r="C151" i="1"/>
  <c r="D151" i="1"/>
  <c r="E151" i="1"/>
  <c r="B152" i="1"/>
  <c r="F152" i="1" s="1"/>
  <c r="C152" i="1"/>
  <c r="D152" i="1"/>
  <c r="E152" i="1"/>
  <c r="B153" i="1"/>
  <c r="F153" i="1" s="1"/>
  <c r="C153" i="1"/>
  <c r="D153" i="1"/>
  <c r="E153" i="1"/>
  <c r="B154" i="1"/>
  <c r="F154" i="1" s="1"/>
  <c r="C154" i="1"/>
  <c r="D154" i="1"/>
  <c r="E154" i="1"/>
  <c r="B155" i="1"/>
  <c r="F155" i="1" s="1"/>
  <c r="C155" i="1"/>
  <c r="D155" i="1"/>
  <c r="E155" i="1"/>
  <c r="B156" i="1"/>
  <c r="F156" i="1" s="1"/>
  <c r="C156" i="1"/>
  <c r="D156" i="1"/>
  <c r="E156" i="1"/>
  <c r="B157" i="1"/>
  <c r="F157" i="1" s="1"/>
  <c r="C157" i="1"/>
  <c r="D157" i="1"/>
  <c r="E157" i="1"/>
  <c r="B158" i="1"/>
  <c r="F158" i="1" s="1"/>
  <c r="C158" i="1"/>
  <c r="D158" i="1"/>
  <c r="E158" i="1"/>
  <c r="B159" i="1"/>
  <c r="F159" i="1" s="1"/>
  <c r="C159" i="1"/>
  <c r="D159" i="1"/>
  <c r="E159" i="1"/>
  <c r="B160" i="1"/>
  <c r="F160" i="1" s="1"/>
  <c r="C160" i="1"/>
  <c r="D160" i="1"/>
  <c r="E160" i="1"/>
  <c r="B161" i="1"/>
  <c r="F161" i="1" s="1"/>
  <c r="C161" i="1"/>
  <c r="D161" i="1"/>
  <c r="E161" i="1"/>
  <c r="B162" i="1"/>
  <c r="F162" i="1" s="1"/>
  <c r="C162" i="1"/>
  <c r="D162" i="1"/>
  <c r="E162" i="1"/>
  <c r="B163" i="1"/>
  <c r="F163" i="1" s="1"/>
  <c r="C163" i="1"/>
  <c r="D163" i="1"/>
  <c r="E163" i="1"/>
  <c r="B164" i="1"/>
  <c r="F164" i="1" s="1"/>
  <c r="C164" i="1"/>
  <c r="D164" i="1"/>
  <c r="E164" i="1"/>
  <c r="B165" i="1"/>
  <c r="F165" i="1" s="1"/>
  <c r="C165" i="1"/>
  <c r="D165" i="1"/>
  <c r="E165" i="1"/>
  <c r="B166" i="1"/>
  <c r="F166" i="1" s="1"/>
  <c r="C166" i="1"/>
  <c r="D166" i="1"/>
  <c r="E166" i="1"/>
  <c r="B167" i="1"/>
  <c r="F167" i="1" s="1"/>
  <c r="C167" i="1"/>
  <c r="D167" i="1"/>
  <c r="E167" i="1"/>
  <c r="B168" i="1"/>
  <c r="F168" i="1" s="1"/>
  <c r="C168" i="1"/>
  <c r="D168" i="1"/>
  <c r="E168" i="1"/>
  <c r="B169" i="1"/>
  <c r="F169" i="1" s="1"/>
  <c r="C169" i="1"/>
  <c r="D169" i="1"/>
  <c r="E169" i="1"/>
  <c r="B170" i="1"/>
  <c r="F170" i="1" s="1"/>
  <c r="C170" i="1"/>
  <c r="D170" i="1"/>
  <c r="E170" i="1"/>
  <c r="B171" i="1"/>
  <c r="F171" i="1" s="1"/>
  <c r="C171" i="1"/>
  <c r="D171" i="1"/>
  <c r="E171" i="1"/>
  <c r="B172" i="1"/>
  <c r="F172" i="1" s="1"/>
  <c r="C172" i="1"/>
  <c r="D172" i="1"/>
  <c r="E172" i="1"/>
  <c r="B173" i="1"/>
  <c r="F173" i="1" s="1"/>
  <c r="C173" i="1"/>
  <c r="D173" i="1"/>
  <c r="E173" i="1"/>
  <c r="B174" i="1"/>
  <c r="F174" i="1" s="1"/>
  <c r="C174" i="1"/>
  <c r="D174" i="1"/>
  <c r="E174" i="1"/>
  <c r="B175" i="1"/>
  <c r="F175" i="1" s="1"/>
  <c r="C175" i="1"/>
  <c r="D175" i="1"/>
  <c r="E175" i="1"/>
  <c r="B176" i="1"/>
  <c r="F176" i="1" s="1"/>
  <c r="C176" i="1"/>
  <c r="D176" i="1"/>
  <c r="E176" i="1"/>
  <c r="B177" i="1"/>
  <c r="F177" i="1" s="1"/>
  <c r="C177" i="1"/>
  <c r="D177" i="1"/>
  <c r="E177" i="1"/>
  <c r="B178" i="1"/>
  <c r="F178" i="1" s="1"/>
  <c r="C178" i="1"/>
  <c r="D178" i="1"/>
  <c r="E178" i="1"/>
  <c r="B179" i="1"/>
  <c r="F179" i="1" s="1"/>
  <c r="C179" i="1"/>
  <c r="D179" i="1"/>
  <c r="E179" i="1"/>
  <c r="B180" i="1"/>
  <c r="F180" i="1" s="1"/>
  <c r="C180" i="1"/>
  <c r="D180" i="1"/>
  <c r="E180" i="1"/>
  <c r="B181" i="1"/>
  <c r="F181" i="1" s="1"/>
  <c r="C181" i="1"/>
  <c r="D181" i="1"/>
  <c r="E181" i="1"/>
  <c r="B182" i="1"/>
  <c r="F182" i="1" s="1"/>
  <c r="C182" i="1"/>
  <c r="D182" i="1"/>
  <c r="E182" i="1"/>
  <c r="B183" i="1"/>
  <c r="F183" i="1" s="1"/>
  <c r="C183" i="1"/>
  <c r="D183" i="1"/>
  <c r="E183" i="1"/>
  <c r="B184" i="1"/>
  <c r="F184" i="1" s="1"/>
  <c r="C184" i="1"/>
  <c r="D184" i="1"/>
  <c r="E184" i="1"/>
  <c r="B185" i="1"/>
  <c r="F185" i="1" s="1"/>
  <c r="C185" i="1"/>
  <c r="D185" i="1"/>
  <c r="E185" i="1"/>
  <c r="B186" i="1"/>
  <c r="F186" i="1" s="1"/>
  <c r="C186" i="1"/>
  <c r="D186" i="1"/>
  <c r="E186" i="1"/>
  <c r="B187" i="1"/>
  <c r="F187" i="1" s="1"/>
  <c r="C187" i="1"/>
  <c r="D187" i="1"/>
  <c r="E187" i="1"/>
  <c r="B188" i="1"/>
  <c r="F188" i="1" s="1"/>
  <c r="C188" i="1"/>
  <c r="D188" i="1"/>
  <c r="E188" i="1"/>
  <c r="B189" i="1"/>
  <c r="F189" i="1" s="1"/>
  <c r="C189" i="1"/>
  <c r="D189" i="1"/>
  <c r="E189" i="1"/>
  <c r="B190" i="1"/>
  <c r="F190" i="1" s="1"/>
  <c r="C190" i="1"/>
  <c r="D190" i="1"/>
  <c r="E190" i="1"/>
  <c r="B191" i="1"/>
  <c r="F191" i="1" s="1"/>
  <c r="C191" i="1"/>
  <c r="D191" i="1"/>
  <c r="E191" i="1"/>
  <c r="B192" i="1"/>
  <c r="F192" i="1" s="1"/>
  <c r="C192" i="1"/>
  <c r="D192" i="1"/>
  <c r="E192" i="1"/>
  <c r="B193" i="1"/>
  <c r="F193" i="1" s="1"/>
  <c r="C193" i="1"/>
  <c r="D193" i="1"/>
  <c r="E193" i="1"/>
  <c r="B194" i="1"/>
  <c r="F194" i="1" s="1"/>
  <c r="C194" i="1"/>
  <c r="D194" i="1"/>
  <c r="E194" i="1"/>
  <c r="B195" i="1"/>
  <c r="F195" i="1" s="1"/>
  <c r="C195" i="1"/>
  <c r="D195" i="1"/>
  <c r="E195" i="1"/>
  <c r="B196" i="1"/>
  <c r="F196" i="1" s="1"/>
  <c r="C196" i="1"/>
  <c r="D196" i="1"/>
  <c r="E196" i="1"/>
  <c r="B197" i="1"/>
  <c r="F197" i="1" s="1"/>
  <c r="C197" i="1"/>
  <c r="D197" i="1"/>
  <c r="E197" i="1"/>
  <c r="B198" i="1"/>
  <c r="F198" i="1" s="1"/>
  <c r="C198" i="1"/>
  <c r="D198" i="1"/>
  <c r="E198" i="1"/>
  <c r="B199" i="1"/>
  <c r="F199" i="1" s="1"/>
  <c r="C199" i="1"/>
  <c r="D199" i="1"/>
  <c r="E199" i="1"/>
  <c r="B200" i="1"/>
  <c r="F200" i="1" s="1"/>
  <c r="C200" i="1"/>
  <c r="D200" i="1"/>
  <c r="E200" i="1"/>
  <c r="B201" i="1"/>
  <c r="F201" i="1" s="1"/>
  <c r="C201" i="1"/>
  <c r="D201" i="1"/>
  <c r="E201" i="1"/>
  <c r="B202" i="1"/>
  <c r="F202" i="1" s="1"/>
  <c r="C202" i="1"/>
  <c r="D202" i="1"/>
  <c r="E202" i="1"/>
  <c r="B203" i="1"/>
  <c r="F203" i="1" s="1"/>
  <c r="C203" i="1"/>
  <c r="D203" i="1"/>
  <c r="E203" i="1"/>
  <c r="B204" i="1"/>
  <c r="F204" i="1" s="1"/>
  <c r="C204" i="1"/>
  <c r="D204" i="1"/>
  <c r="E204" i="1"/>
  <c r="B205" i="1"/>
  <c r="F205" i="1" s="1"/>
  <c r="C205" i="1"/>
  <c r="D205" i="1"/>
  <c r="E205" i="1"/>
  <c r="B206" i="1"/>
  <c r="F206" i="1" s="1"/>
  <c r="C206" i="1"/>
  <c r="D206" i="1"/>
  <c r="E206" i="1"/>
  <c r="B207" i="1"/>
  <c r="F207" i="1" s="1"/>
  <c r="C207" i="1"/>
  <c r="D207" i="1"/>
  <c r="E207" i="1"/>
  <c r="B208" i="1"/>
  <c r="F208" i="1" s="1"/>
  <c r="C208" i="1"/>
  <c r="D208" i="1"/>
  <c r="E208" i="1"/>
  <c r="B209" i="1"/>
  <c r="F209" i="1" s="1"/>
  <c r="C209" i="1"/>
  <c r="D209" i="1"/>
  <c r="E209" i="1"/>
  <c r="B210" i="1"/>
  <c r="F210" i="1" s="1"/>
  <c r="C210" i="1"/>
  <c r="D210" i="1"/>
  <c r="E210" i="1"/>
  <c r="B211" i="1"/>
  <c r="F211" i="1" s="1"/>
  <c r="C211" i="1"/>
  <c r="D211" i="1"/>
  <c r="E211" i="1"/>
  <c r="B212" i="1"/>
  <c r="F212" i="1" s="1"/>
  <c r="C212" i="1"/>
  <c r="D212" i="1"/>
  <c r="E212" i="1"/>
  <c r="B213" i="1"/>
  <c r="F213" i="1" s="1"/>
  <c r="C213" i="1"/>
  <c r="D213" i="1"/>
  <c r="E213" i="1"/>
  <c r="B214" i="1"/>
  <c r="F214" i="1" s="1"/>
  <c r="C214" i="1"/>
  <c r="D214" i="1"/>
  <c r="E214" i="1"/>
  <c r="B215" i="1"/>
  <c r="F215" i="1" s="1"/>
  <c r="C215" i="1"/>
  <c r="D215" i="1"/>
  <c r="E215" i="1"/>
  <c r="B216" i="1"/>
  <c r="F216" i="1" s="1"/>
  <c r="C216" i="1"/>
  <c r="D216" i="1"/>
  <c r="E216" i="1"/>
  <c r="B217" i="1"/>
  <c r="F217" i="1" s="1"/>
  <c r="C217" i="1"/>
  <c r="D217" i="1"/>
  <c r="E217" i="1"/>
  <c r="B218" i="1"/>
  <c r="F218" i="1" s="1"/>
  <c r="C218" i="1"/>
  <c r="D218" i="1"/>
  <c r="E218" i="1"/>
  <c r="B219" i="1"/>
  <c r="F219" i="1" s="1"/>
  <c r="C219" i="1"/>
  <c r="D219" i="1"/>
  <c r="E219" i="1"/>
  <c r="B220" i="1"/>
  <c r="F220" i="1" s="1"/>
  <c r="C220" i="1"/>
  <c r="D220" i="1"/>
  <c r="E220" i="1"/>
  <c r="B221" i="1"/>
  <c r="F221" i="1" s="1"/>
  <c r="C221" i="1"/>
  <c r="D221" i="1"/>
  <c r="E221" i="1"/>
  <c r="B222" i="1"/>
  <c r="F222" i="1" s="1"/>
  <c r="C222" i="1"/>
  <c r="D222" i="1"/>
  <c r="E222" i="1"/>
  <c r="B223" i="1"/>
  <c r="F223" i="1" s="1"/>
  <c r="C223" i="1"/>
  <c r="D223" i="1"/>
  <c r="E223" i="1"/>
  <c r="B224" i="1"/>
  <c r="F224" i="1" s="1"/>
  <c r="C224" i="1"/>
  <c r="D224" i="1"/>
  <c r="E224" i="1"/>
  <c r="B225" i="1"/>
  <c r="F225" i="1" s="1"/>
  <c r="C225" i="1"/>
  <c r="D225" i="1"/>
  <c r="E225" i="1"/>
  <c r="B226" i="1"/>
  <c r="F226" i="1" s="1"/>
  <c r="C226" i="1"/>
  <c r="D226" i="1"/>
  <c r="E226" i="1"/>
  <c r="B227" i="1"/>
  <c r="F227" i="1" s="1"/>
  <c r="C227" i="1"/>
  <c r="D227" i="1"/>
  <c r="E227" i="1"/>
  <c r="B228" i="1"/>
  <c r="F228" i="1" s="1"/>
  <c r="C228" i="1"/>
  <c r="D228" i="1"/>
  <c r="E228" i="1"/>
  <c r="B229" i="1"/>
  <c r="F229" i="1" s="1"/>
  <c r="C229" i="1"/>
  <c r="D229" i="1"/>
  <c r="E229" i="1"/>
  <c r="B230" i="1"/>
  <c r="F230" i="1" s="1"/>
  <c r="C230" i="1"/>
  <c r="D230" i="1"/>
  <c r="E230" i="1"/>
  <c r="B231" i="1"/>
  <c r="F231" i="1" s="1"/>
  <c r="C231" i="1"/>
  <c r="D231" i="1"/>
  <c r="E231" i="1"/>
  <c r="B232" i="1"/>
  <c r="F232" i="1" s="1"/>
  <c r="C232" i="1"/>
  <c r="D232" i="1"/>
  <c r="E232" i="1"/>
  <c r="B233" i="1"/>
  <c r="F233" i="1" s="1"/>
  <c r="C233" i="1"/>
  <c r="D233" i="1"/>
  <c r="E233" i="1"/>
  <c r="B234" i="1"/>
  <c r="F234" i="1" s="1"/>
  <c r="C234" i="1"/>
  <c r="D234" i="1"/>
  <c r="E234" i="1"/>
  <c r="B235" i="1"/>
  <c r="F235" i="1" s="1"/>
  <c r="C235" i="1"/>
  <c r="D235" i="1"/>
  <c r="E235" i="1"/>
  <c r="B236" i="1"/>
  <c r="F236" i="1" s="1"/>
  <c r="C236" i="1"/>
  <c r="D236" i="1"/>
  <c r="E236" i="1"/>
  <c r="B237" i="1"/>
  <c r="F237" i="1" s="1"/>
  <c r="C237" i="1"/>
  <c r="D237" i="1"/>
  <c r="E237" i="1"/>
  <c r="B238" i="1"/>
  <c r="F238" i="1" s="1"/>
  <c r="C238" i="1"/>
  <c r="D238" i="1"/>
  <c r="E238" i="1"/>
  <c r="B239" i="1"/>
  <c r="F239" i="1" s="1"/>
  <c r="C239" i="1"/>
  <c r="D239" i="1"/>
  <c r="E239" i="1"/>
  <c r="B240" i="1"/>
  <c r="F240" i="1" s="1"/>
  <c r="C240" i="1"/>
  <c r="D240" i="1"/>
  <c r="E240" i="1"/>
  <c r="B241" i="1"/>
  <c r="F241" i="1" s="1"/>
  <c r="C241" i="1"/>
  <c r="D241" i="1"/>
  <c r="E241" i="1"/>
  <c r="B242" i="1"/>
  <c r="F242" i="1" s="1"/>
  <c r="C242" i="1"/>
  <c r="D242" i="1"/>
  <c r="E242" i="1"/>
  <c r="B243" i="1"/>
  <c r="F243" i="1" s="1"/>
  <c r="C243" i="1"/>
  <c r="D243" i="1"/>
  <c r="E243" i="1"/>
  <c r="B244" i="1"/>
  <c r="F244" i="1" s="1"/>
  <c r="C244" i="1"/>
  <c r="D244" i="1"/>
  <c r="E244" i="1"/>
  <c r="B245" i="1"/>
  <c r="F245" i="1" s="1"/>
  <c r="C245" i="1"/>
  <c r="D245" i="1"/>
  <c r="E245" i="1"/>
  <c r="B246" i="1"/>
  <c r="F246" i="1" s="1"/>
  <c r="C246" i="1"/>
  <c r="D246" i="1"/>
  <c r="E246" i="1"/>
  <c r="B247" i="1"/>
  <c r="F247" i="1" s="1"/>
  <c r="C247" i="1"/>
  <c r="D247" i="1"/>
  <c r="E247" i="1"/>
  <c r="B248" i="1"/>
  <c r="F248" i="1" s="1"/>
  <c r="C248" i="1"/>
  <c r="D248" i="1"/>
  <c r="E248" i="1"/>
  <c r="B249" i="1"/>
  <c r="F249" i="1" s="1"/>
  <c r="C249" i="1"/>
  <c r="D249" i="1"/>
  <c r="E249" i="1"/>
  <c r="B250" i="1"/>
  <c r="F250" i="1" s="1"/>
  <c r="C250" i="1"/>
  <c r="D250" i="1"/>
  <c r="E250" i="1"/>
  <c r="B251" i="1"/>
  <c r="F251" i="1" s="1"/>
  <c r="C251" i="1"/>
  <c r="D251" i="1"/>
  <c r="E251" i="1"/>
  <c r="B252" i="1"/>
  <c r="F252" i="1" s="1"/>
  <c r="C252" i="1"/>
  <c r="D252" i="1"/>
  <c r="E252" i="1"/>
  <c r="B253" i="1"/>
  <c r="F253" i="1" s="1"/>
  <c r="C253" i="1"/>
  <c r="D253" i="1"/>
  <c r="E253" i="1"/>
  <c r="B254" i="1"/>
  <c r="F254" i="1" s="1"/>
  <c r="C254" i="1"/>
  <c r="D254" i="1"/>
  <c r="E254" i="1"/>
  <c r="B255" i="1"/>
  <c r="F255" i="1" s="1"/>
  <c r="C255" i="1"/>
  <c r="D255" i="1"/>
  <c r="E255" i="1"/>
  <c r="B256" i="1"/>
  <c r="F256" i="1" s="1"/>
  <c r="C256" i="1"/>
  <c r="D256" i="1"/>
  <c r="E256" i="1"/>
  <c r="B257" i="1"/>
  <c r="F257" i="1" s="1"/>
  <c r="C257" i="1"/>
  <c r="D257" i="1"/>
  <c r="E257" i="1"/>
  <c r="B258" i="1"/>
  <c r="F258" i="1" s="1"/>
  <c r="C258" i="1"/>
  <c r="D258" i="1"/>
  <c r="E258" i="1"/>
  <c r="B259" i="1"/>
  <c r="F259" i="1" s="1"/>
  <c r="C259" i="1"/>
  <c r="D259" i="1"/>
  <c r="E259" i="1"/>
  <c r="B260" i="1"/>
  <c r="F260" i="1" s="1"/>
  <c r="C260" i="1"/>
  <c r="D260" i="1"/>
  <c r="E260" i="1"/>
  <c r="B261" i="1"/>
  <c r="F261" i="1" s="1"/>
  <c r="C261" i="1"/>
  <c r="D261" i="1"/>
  <c r="E261" i="1"/>
  <c r="B262" i="1"/>
  <c r="F262" i="1" s="1"/>
  <c r="C262" i="1"/>
  <c r="D262" i="1"/>
  <c r="E262" i="1"/>
  <c r="B263" i="1"/>
  <c r="F263" i="1" s="1"/>
  <c r="C263" i="1"/>
  <c r="D263" i="1"/>
  <c r="E263" i="1"/>
  <c r="B264" i="1"/>
  <c r="F264" i="1" s="1"/>
  <c r="C264" i="1"/>
  <c r="D264" i="1"/>
  <c r="E264" i="1"/>
  <c r="B265" i="1"/>
  <c r="F265" i="1" s="1"/>
  <c r="C265" i="1"/>
  <c r="D265" i="1"/>
  <c r="E265" i="1"/>
  <c r="B266" i="1"/>
  <c r="F266" i="1" s="1"/>
  <c r="C266" i="1"/>
  <c r="D266" i="1"/>
  <c r="E266" i="1"/>
  <c r="B267" i="1"/>
  <c r="F267" i="1" s="1"/>
  <c r="C267" i="1"/>
  <c r="D267" i="1"/>
  <c r="E267" i="1"/>
  <c r="B268" i="1"/>
  <c r="F268" i="1" s="1"/>
  <c r="C268" i="1"/>
  <c r="D268" i="1"/>
  <c r="E268" i="1"/>
  <c r="B269" i="1"/>
  <c r="F269" i="1" s="1"/>
  <c r="C269" i="1"/>
  <c r="D269" i="1"/>
  <c r="E269" i="1"/>
  <c r="B270" i="1"/>
  <c r="F270" i="1" s="1"/>
  <c r="C270" i="1"/>
  <c r="D270" i="1"/>
  <c r="E270" i="1"/>
  <c r="B271" i="1"/>
  <c r="F271" i="1" s="1"/>
  <c r="C271" i="1"/>
  <c r="D271" i="1"/>
  <c r="E271" i="1"/>
  <c r="B272" i="1"/>
  <c r="F272" i="1" s="1"/>
  <c r="C272" i="1"/>
  <c r="D272" i="1"/>
  <c r="E272" i="1"/>
  <c r="B273" i="1"/>
  <c r="F273" i="1" s="1"/>
  <c r="C273" i="1"/>
  <c r="D273" i="1"/>
  <c r="E273" i="1"/>
  <c r="B274" i="1"/>
  <c r="F274" i="1" s="1"/>
  <c r="C274" i="1"/>
  <c r="D274" i="1"/>
  <c r="E274" i="1"/>
  <c r="B275" i="1"/>
  <c r="F275" i="1" s="1"/>
  <c r="C275" i="1"/>
  <c r="D275" i="1"/>
  <c r="E275" i="1"/>
  <c r="B276" i="1"/>
  <c r="F276" i="1" s="1"/>
  <c r="C276" i="1"/>
  <c r="D276" i="1"/>
  <c r="E276" i="1"/>
  <c r="B277" i="1"/>
  <c r="F277" i="1" s="1"/>
  <c r="C277" i="1"/>
  <c r="D277" i="1"/>
  <c r="E277" i="1"/>
  <c r="B278" i="1"/>
  <c r="F278" i="1" s="1"/>
  <c r="C278" i="1"/>
  <c r="D278" i="1"/>
  <c r="E278" i="1"/>
  <c r="B279" i="1"/>
  <c r="F279" i="1" s="1"/>
  <c r="C279" i="1"/>
  <c r="D279" i="1"/>
  <c r="E279" i="1"/>
  <c r="B280" i="1"/>
  <c r="F280" i="1" s="1"/>
  <c r="C280" i="1"/>
  <c r="D280" i="1"/>
  <c r="E280" i="1"/>
  <c r="B281" i="1"/>
  <c r="F281" i="1" s="1"/>
  <c r="C281" i="1"/>
  <c r="D281" i="1"/>
  <c r="E281" i="1"/>
  <c r="B282" i="1"/>
  <c r="F282" i="1" s="1"/>
  <c r="C282" i="1"/>
  <c r="D282" i="1"/>
  <c r="E282" i="1"/>
  <c r="B283" i="1"/>
  <c r="F283" i="1" s="1"/>
  <c r="C283" i="1"/>
  <c r="D283" i="1"/>
  <c r="E283" i="1"/>
  <c r="B284" i="1"/>
  <c r="F284" i="1" s="1"/>
  <c r="C284" i="1"/>
  <c r="D284" i="1"/>
  <c r="E284" i="1"/>
  <c r="B285" i="1"/>
  <c r="F285" i="1" s="1"/>
  <c r="C285" i="1"/>
  <c r="D285" i="1"/>
  <c r="E285" i="1"/>
  <c r="B286" i="1"/>
  <c r="F286" i="1" s="1"/>
  <c r="C286" i="1"/>
  <c r="D286" i="1"/>
  <c r="E286" i="1"/>
  <c r="B287" i="1"/>
  <c r="F287" i="1" s="1"/>
  <c r="C287" i="1"/>
  <c r="D287" i="1"/>
  <c r="E287" i="1"/>
  <c r="B288" i="1"/>
  <c r="F288" i="1" s="1"/>
  <c r="C288" i="1"/>
  <c r="D288" i="1"/>
  <c r="E288" i="1"/>
  <c r="B289" i="1"/>
  <c r="F289" i="1" s="1"/>
  <c r="C289" i="1"/>
  <c r="D289" i="1"/>
  <c r="E289" i="1"/>
  <c r="B290" i="1"/>
  <c r="F290" i="1" s="1"/>
  <c r="C290" i="1"/>
  <c r="D290" i="1"/>
  <c r="E290" i="1"/>
  <c r="B291" i="1"/>
  <c r="F291" i="1" s="1"/>
  <c r="C291" i="1"/>
  <c r="D291" i="1"/>
  <c r="E291" i="1"/>
  <c r="B292" i="1"/>
  <c r="F292" i="1" s="1"/>
  <c r="C292" i="1"/>
  <c r="D292" i="1"/>
  <c r="E292" i="1"/>
  <c r="B293" i="1"/>
  <c r="F293" i="1" s="1"/>
  <c r="C293" i="1"/>
  <c r="D293" i="1"/>
  <c r="E293" i="1"/>
  <c r="B294" i="1"/>
  <c r="F294" i="1" s="1"/>
  <c r="C294" i="1"/>
  <c r="D294" i="1"/>
  <c r="E294" i="1"/>
  <c r="B295" i="1"/>
  <c r="F295" i="1" s="1"/>
  <c r="C295" i="1"/>
  <c r="D295" i="1"/>
  <c r="E295" i="1"/>
  <c r="B296" i="1"/>
  <c r="F296" i="1" s="1"/>
  <c r="C296" i="1"/>
  <c r="D296" i="1"/>
  <c r="E296" i="1"/>
  <c r="B297" i="1"/>
  <c r="F297" i="1" s="1"/>
  <c r="C297" i="1"/>
  <c r="D297" i="1"/>
  <c r="E297" i="1"/>
  <c r="B298" i="1"/>
  <c r="F298" i="1" s="1"/>
  <c r="C298" i="1"/>
  <c r="D298" i="1"/>
  <c r="E298" i="1"/>
  <c r="B299" i="1"/>
  <c r="F299" i="1" s="1"/>
  <c r="C299" i="1"/>
  <c r="D299" i="1"/>
  <c r="E299" i="1"/>
  <c r="B300" i="1"/>
  <c r="F300" i="1" s="1"/>
  <c r="C300" i="1"/>
  <c r="D300" i="1"/>
  <c r="E300" i="1"/>
  <c r="B301" i="1"/>
  <c r="F301" i="1" s="1"/>
  <c r="C301" i="1"/>
  <c r="D301" i="1"/>
  <c r="E301" i="1"/>
  <c r="B302" i="1"/>
  <c r="F302" i="1" s="1"/>
  <c r="C302" i="1"/>
  <c r="D302" i="1"/>
  <c r="E302" i="1"/>
  <c r="B303" i="1"/>
  <c r="F303" i="1" s="1"/>
  <c r="C303" i="1"/>
  <c r="D303" i="1"/>
  <c r="E303" i="1"/>
  <c r="B304" i="1"/>
  <c r="F304" i="1" s="1"/>
  <c r="C304" i="1"/>
  <c r="D304" i="1"/>
  <c r="E304" i="1"/>
  <c r="B305" i="1"/>
  <c r="F305" i="1" s="1"/>
  <c r="C305" i="1"/>
  <c r="D305" i="1"/>
  <c r="E305" i="1"/>
  <c r="B306" i="1"/>
  <c r="F306" i="1" s="1"/>
  <c r="C306" i="1"/>
  <c r="D306" i="1"/>
  <c r="E306" i="1"/>
  <c r="B307" i="1"/>
  <c r="F307" i="1" s="1"/>
  <c r="C307" i="1"/>
  <c r="D307" i="1"/>
  <c r="E307" i="1"/>
  <c r="B308" i="1"/>
  <c r="F308" i="1" s="1"/>
  <c r="C308" i="1"/>
  <c r="D308" i="1"/>
  <c r="E308" i="1"/>
  <c r="B309" i="1"/>
  <c r="F309" i="1" s="1"/>
  <c r="C309" i="1"/>
  <c r="D309" i="1"/>
  <c r="E309" i="1"/>
  <c r="B310" i="1"/>
  <c r="F310" i="1" s="1"/>
  <c r="C310" i="1"/>
  <c r="D310" i="1"/>
  <c r="E310" i="1"/>
  <c r="B311" i="1"/>
  <c r="F311" i="1" s="1"/>
  <c r="C311" i="1"/>
  <c r="D311" i="1"/>
  <c r="E311" i="1"/>
  <c r="B312" i="1"/>
  <c r="F312" i="1" s="1"/>
  <c r="C312" i="1"/>
  <c r="D312" i="1"/>
  <c r="E312" i="1"/>
  <c r="B313" i="1"/>
  <c r="F313" i="1" s="1"/>
  <c r="C313" i="1"/>
  <c r="D313" i="1"/>
  <c r="E313" i="1"/>
  <c r="B314" i="1"/>
  <c r="F314" i="1" s="1"/>
  <c r="C314" i="1"/>
  <c r="D314" i="1"/>
  <c r="E314" i="1"/>
  <c r="B315" i="1"/>
  <c r="F315" i="1" s="1"/>
  <c r="C315" i="1"/>
  <c r="D315" i="1"/>
  <c r="E315" i="1"/>
  <c r="B316" i="1"/>
  <c r="F316" i="1" s="1"/>
  <c r="C316" i="1"/>
  <c r="D316" i="1"/>
  <c r="E316" i="1"/>
  <c r="B317" i="1"/>
  <c r="F317" i="1" s="1"/>
  <c r="C317" i="1"/>
  <c r="D317" i="1"/>
  <c r="E317" i="1"/>
  <c r="B318" i="1"/>
  <c r="F318" i="1" s="1"/>
  <c r="C318" i="1"/>
  <c r="D318" i="1"/>
  <c r="E318" i="1"/>
  <c r="B319" i="1"/>
  <c r="F319" i="1" s="1"/>
  <c r="C319" i="1"/>
  <c r="D319" i="1"/>
  <c r="E319" i="1"/>
  <c r="B320" i="1"/>
  <c r="F320" i="1" s="1"/>
  <c r="C320" i="1"/>
  <c r="D320" i="1"/>
  <c r="E320" i="1"/>
  <c r="B321" i="1"/>
  <c r="F321" i="1" s="1"/>
  <c r="C321" i="1"/>
  <c r="D321" i="1"/>
  <c r="E321" i="1"/>
  <c r="B322" i="1"/>
  <c r="F322" i="1" s="1"/>
  <c r="C322" i="1"/>
  <c r="D322" i="1"/>
  <c r="E322" i="1"/>
  <c r="B323" i="1"/>
  <c r="F323" i="1" s="1"/>
  <c r="C323" i="1"/>
  <c r="D323" i="1"/>
  <c r="E323" i="1"/>
  <c r="B324" i="1"/>
  <c r="F324" i="1" s="1"/>
  <c r="C324" i="1"/>
  <c r="D324" i="1"/>
  <c r="E324" i="1"/>
  <c r="B325" i="1"/>
  <c r="F325" i="1" s="1"/>
  <c r="C325" i="1"/>
  <c r="D325" i="1"/>
  <c r="E325" i="1"/>
  <c r="B326" i="1"/>
  <c r="F326" i="1" s="1"/>
  <c r="C326" i="1"/>
  <c r="D326" i="1"/>
  <c r="E326" i="1"/>
  <c r="B327" i="1"/>
  <c r="F327" i="1" s="1"/>
  <c r="C327" i="1"/>
  <c r="D327" i="1"/>
  <c r="E327" i="1"/>
  <c r="B328" i="1"/>
  <c r="F328" i="1" s="1"/>
  <c r="C328" i="1"/>
  <c r="D328" i="1"/>
  <c r="E328" i="1"/>
  <c r="B329" i="1"/>
  <c r="F329" i="1" s="1"/>
  <c r="C329" i="1"/>
  <c r="D329" i="1"/>
  <c r="E329" i="1"/>
  <c r="B330" i="1"/>
  <c r="F330" i="1" s="1"/>
  <c r="C330" i="1"/>
  <c r="D330" i="1"/>
  <c r="E330" i="1"/>
  <c r="B331" i="1"/>
  <c r="F331" i="1" s="1"/>
  <c r="C331" i="1"/>
  <c r="D331" i="1"/>
  <c r="E331" i="1"/>
  <c r="B332" i="1"/>
  <c r="F332" i="1" s="1"/>
  <c r="C332" i="1"/>
  <c r="D332" i="1"/>
  <c r="E332" i="1"/>
  <c r="B333" i="1"/>
  <c r="F333" i="1" s="1"/>
  <c r="C333" i="1"/>
  <c r="D333" i="1"/>
  <c r="E333" i="1"/>
  <c r="B334" i="1"/>
  <c r="F334" i="1" s="1"/>
  <c r="C334" i="1"/>
  <c r="D334" i="1"/>
  <c r="E334" i="1"/>
  <c r="B335" i="1"/>
  <c r="F335" i="1" s="1"/>
  <c r="C335" i="1"/>
  <c r="D335" i="1"/>
  <c r="E335" i="1"/>
  <c r="B336" i="1"/>
  <c r="F336" i="1" s="1"/>
  <c r="C336" i="1"/>
  <c r="D336" i="1"/>
  <c r="E336" i="1"/>
  <c r="B337" i="1"/>
  <c r="F337" i="1" s="1"/>
  <c r="C337" i="1"/>
  <c r="D337" i="1"/>
  <c r="E337" i="1"/>
  <c r="B338" i="1"/>
  <c r="F338" i="1" s="1"/>
  <c r="C338" i="1"/>
  <c r="D338" i="1"/>
  <c r="E338" i="1"/>
  <c r="B84" i="1"/>
  <c r="F84" i="1" s="1"/>
  <c r="C84" i="1"/>
  <c r="D84" i="1"/>
  <c r="E84" i="1"/>
  <c r="B85" i="1"/>
  <c r="F85" i="1" s="1"/>
  <c r="C85" i="1"/>
  <c r="D85" i="1"/>
  <c r="E85" i="1"/>
  <c r="B86" i="1"/>
  <c r="F86" i="1" s="1"/>
  <c r="C86" i="1"/>
  <c r="D86" i="1"/>
  <c r="E86" i="1"/>
  <c r="B87" i="1"/>
  <c r="F87" i="1" s="1"/>
  <c r="C87" i="1"/>
  <c r="D87" i="1"/>
  <c r="E87" i="1"/>
  <c r="B88" i="1"/>
  <c r="F88" i="1" s="1"/>
  <c r="C88" i="1"/>
  <c r="D88" i="1"/>
  <c r="E88" i="1"/>
  <c r="B89" i="1"/>
  <c r="F89" i="1" s="1"/>
  <c r="C89" i="1"/>
  <c r="D89" i="1"/>
  <c r="E89" i="1"/>
  <c r="B90" i="1"/>
  <c r="F90" i="1" s="1"/>
  <c r="C90" i="1"/>
  <c r="D90" i="1"/>
  <c r="E90" i="1"/>
  <c r="B91" i="1"/>
  <c r="F91" i="1" s="1"/>
  <c r="C91" i="1"/>
  <c r="D91" i="1"/>
  <c r="E91" i="1"/>
  <c r="B92" i="1"/>
  <c r="F92" i="1" s="1"/>
  <c r="C92" i="1"/>
  <c r="D92" i="1"/>
  <c r="E92" i="1"/>
  <c r="B93" i="1"/>
  <c r="F93" i="1" s="1"/>
  <c r="C93" i="1"/>
  <c r="D93" i="1"/>
  <c r="E93" i="1"/>
  <c r="B94" i="1"/>
  <c r="F94" i="1" s="1"/>
  <c r="C94" i="1"/>
  <c r="D94" i="1"/>
  <c r="E94" i="1"/>
  <c r="B95" i="1"/>
  <c r="F95" i="1" s="1"/>
  <c r="C95" i="1"/>
  <c r="D95" i="1"/>
  <c r="E95" i="1"/>
  <c r="B96" i="1"/>
  <c r="F96" i="1" s="1"/>
  <c r="C96" i="1"/>
  <c r="D96" i="1"/>
  <c r="E96" i="1"/>
  <c r="B97" i="1"/>
  <c r="F97" i="1" s="1"/>
  <c r="C97" i="1"/>
  <c r="D97" i="1"/>
  <c r="E97" i="1"/>
  <c r="B98" i="1"/>
  <c r="F98" i="1" s="1"/>
  <c r="C98" i="1"/>
  <c r="D98" i="1"/>
  <c r="E98" i="1"/>
  <c r="B99" i="1"/>
  <c r="F99" i="1" s="1"/>
  <c r="C99" i="1"/>
  <c r="D99" i="1"/>
  <c r="E99" i="1"/>
  <c r="B100" i="1"/>
  <c r="F100" i="1" s="1"/>
  <c r="C100" i="1"/>
  <c r="D100" i="1"/>
  <c r="E100" i="1"/>
  <c r="B101" i="1"/>
  <c r="F101" i="1" s="1"/>
  <c r="C101" i="1"/>
  <c r="D101" i="1"/>
  <c r="E101" i="1"/>
  <c r="B102" i="1"/>
  <c r="F102" i="1" s="1"/>
  <c r="C102" i="1"/>
  <c r="D102" i="1"/>
  <c r="E102" i="1"/>
  <c r="B103" i="1"/>
  <c r="F103" i="1" s="1"/>
  <c r="C103" i="1"/>
  <c r="D103" i="1"/>
  <c r="E103" i="1"/>
  <c r="B104" i="1"/>
  <c r="F104" i="1" s="1"/>
  <c r="C104" i="1"/>
  <c r="D104" i="1"/>
  <c r="E104" i="1"/>
  <c r="B105" i="1"/>
  <c r="F105" i="1" s="1"/>
  <c r="C105" i="1"/>
  <c r="D105" i="1"/>
  <c r="E105" i="1"/>
  <c r="B106" i="1"/>
  <c r="F106" i="1" s="1"/>
  <c r="C106" i="1"/>
  <c r="D106" i="1"/>
  <c r="E106" i="1"/>
  <c r="B107" i="1"/>
  <c r="F107" i="1" s="1"/>
  <c r="C107" i="1"/>
  <c r="D107" i="1"/>
  <c r="E107" i="1"/>
  <c r="B108" i="1"/>
  <c r="F108" i="1" s="1"/>
  <c r="C108" i="1"/>
  <c r="D108" i="1"/>
  <c r="E108" i="1"/>
  <c r="B109" i="1"/>
  <c r="F109" i="1" s="1"/>
  <c r="C109" i="1"/>
  <c r="D109" i="1"/>
  <c r="E109" i="1"/>
  <c r="B83" i="1"/>
  <c r="F83" i="1" s="1"/>
  <c r="C83" i="1"/>
  <c r="D83" i="1"/>
  <c r="E8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B3" i="1"/>
  <c r="F3" i="1" s="1"/>
  <c r="B4" i="1"/>
  <c r="F4" i="1" s="1"/>
  <c r="B5" i="1"/>
  <c r="F5" i="1" s="1"/>
  <c r="B6" i="1"/>
  <c r="F6" i="1" s="1"/>
  <c r="B7" i="1"/>
  <c r="F7" i="1" s="1"/>
  <c r="B8" i="1"/>
  <c r="F8" i="1" s="1"/>
  <c r="B9" i="1"/>
  <c r="F9" i="1" s="1"/>
  <c r="B10" i="1"/>
  <c r="F10" i="1" s="1"/>
  <c r="B11" i="1"/>
  <c r="F11" i="1" s="1"/>
  <c r="B12" i="1"/>
  <c r="F12" i="1" s="1"/>
  <c r="B13" i="1"/>
  <c r="F13" i="1" s="1"/>
  <c r="B14" i="1"/>
  <c r="F14" i="1" s="1"/>
  <c r="B15" i="1"/>
  <c r="F15" i="1" s="1"/>
  <c r="B16" i="1"/>
  <c r="F16" i="1" s="1"/>
  <c r="B17" i="1"/>
  <c r="F17" i="1" s="1"/>
  <c r="B18" i="1"/>
  <c r="F18" i="1" s="1"/>
  <c r="B19" i="1"/>
  <c r="F19" i="1" s="1"/>
  <c r="B20" i="1"/>
  <c r="F20" i="1" s="1"/>
  <c r="B21" i="1"/>
  <c r="F21" i="1" s="1"/>
  <c r="B22" i="1"/>
  <c r="F22" i="1" s="1"/>
  <c r="B23" i="1"/>
  <c r="F23" i="1" s="1"/>
  <c r="B24" i="1"/>
  <c r="F24" i="1" s="1"/>
  <c r="B25" i="1"/>
  <c r="F25" i="1" s="1"/>
  <c r="B26" i="1"/>
  <c r="F26" i="1" s="1"/>
  <c r="B27" i="1"/>
  <c r="F27" i="1" s="1"/>
  <c r="B28" i="1"/>
  <c r="F28" i="1" s="1"/>
  <c r="B29" i="1"/>
  <c r="F29" i="1" s="1"/>
  <c r="B30" i="1"/>
  <c r="F30" i="1" s="1"/>
  <c r="B31" i="1"/>
  <c r="F31" i="1" s="1"/>
  <c r="B32" i="1"/>
  <c r="F32" i="1" s="1"/>
  <c r="B33" i="1"/>
  <c r="F33" i="1" s="1"/>
  <c r="B34" i="1"/>
  <c r="F34" i="1" s="1"/>
  <c r="B35" i="1"/>
  <c r="F35" i="1" s="1"/>
  <c r="B36" i="1"/>
  <c r="F36" i="1" s="1"/>
  <c r="B37" i="1"/>
  <c r="F37" i="1" s="1"/>
  <c r="B38" i="1"/>
  <c r="F38" i="1" s="1"/>
  <c r="B39" i="1"/>
  <c r="F39" i="1" s="1"/>
  <c r="B40" i="1"/>
  <c r="F40" i="1" s="1"/>
  <c r="B41" i="1"/>
  <c r="F41" i="1" s="1"/>
  <c r="B42" i="1"/>
  <c r="F42" i="1" s="1"/>
  <c r="B43" i="1"/>
  <c r="F43" i="1" s="1"/>
  <c r="B44" i="1"/>
  <c r="F44" i="1" s="1"/>
  <c r="B45" i="1"/>
  <c r="F45" i="1" s="1"/>
  <c r="B46" i="1"/>
  <c r="F46" i="1" s="1"/>
  <c r="B47" i="1"/>
  <c r="F47" i="1" s="1"/>
  <c r="B48" i="1"/>
  <c r="F48" i="1" s="1"/>
  <c r="B49" i="1"/>
  <c r="F49" i="1" s="1"/>
  <c r="B50" i="1"/>
  <c r="F50" i="1" s="1"/>
  <c r="B51" i="1"/>
  <c r="F51" i="1" s="1"/>
  <c r="B52" i="1"/>
  <c r="F52" i="1" s="1"/>
  <c r="B53" i="1"/>
  <c r="F53" i="1" s="1"/>
  <c r="B54" i="1"/>
  <c r="F54" i="1" s="1"/>
  <c r="B55" i="1"/>
  <c r="F55" i="1" s="1"/>
  <c r="B56" i="1"/>
  <c r="F56" i="1" s="1"/>
  <c r="B57" i="1"/>
  <c r="F57" i="1" s="1"/>
  <c r="B58" i="1"/>
  <c r="F58" i="1" s="1"/>
  <c r="B59" i="1"/>
  <c r="F59" i="1" s="1"/>
  <c r="B60" i="1"/>
  <c r="F60" i="1" s="1"/>
  <c r="B61" i="1"/>
  <c r="F61" i="1" s="1"/>
  <c r="B62" i="1"/>
  <c r="F62" i="1" s="1"/>
  <c r="B63" i="1"/>
  <c r="F63" i="1" s="1"/>
  <c r="B64" i="1"/>
  <c r="F64" i="1" s="1"/>
  <c r="B65" i="1"/>
  <c r="F65" i="1" s="1"/>
  <c r="B66" i="1"/>
  <c r="F66" i="1" s="1"/>
  <c r="B67" i="1"/>
  <c r="F67" i="1" s="1"/>
  <c r="B68" i="1"/>
  <c r="F68" i="1" s="1"/>
  <c r="B69" i="1"/>
  <c r="F69" i="1" s="1"/>
  <c r="B70" i="1"/>
  <c r="F70" i="1" s="1"/>
  <c r="B71" i="1"/>
  <c r="F71" i="1" s="1"/>
  <c r="B72" i="1"/>
  <c r="F72" i="1" s="1"/>
  <c r="B73" i="1"/>
  <c r="F73" i="1" s="1"/>
  <c r="B74" i="1"/>
  <c r="F74" i="1" s="1"/>
  <c r="B75" i="1"/>
  <c r="F75" i="1" s="1"/>
  <c r="B76" i="1"/>
  <c r="F76" i="1" s="1"/>
  <c r="B77" i="1"/>
  <c r="F77" i="1" s="1"/>
  <c r="B78" i="1"/>
  <c r="F78" i="1" s="1"/>
  <c r="B79" i="1"/>
  <c r="F79" i="1" s="1"/>
  <c r="B80" i="1"/>
  <c r="F80" i="1" s="1"/>
  <c r="B81" i="1"/>
  <c r="F81" i="1" s="1"/>
  <c r="B82" i="1"/>
  <c r="F82" i="1" s="1"/>
  <c r="E2" i="1"/>
  <c r="D2" i="1"/>
  <c r="C2" i="1"/>
  <c r="B2" i="1"/>
  <c r="L4" i="1" l="1"/>
  <c r="H364" i="1"/>
  <c r="I364" i="1" s="1"/>
  <c r="I367" i="1"/>
  <c r="G366" i="1"/>
  <c r="G367" i="1" s="1"/>
  <c r="G368" i="1" s="1"/>
  <c r="G369" i="1" s="1"/>
  <c r="H365" i="1"/>
  <c r="I365" i="1"/>
  <c r="H363" i="1"/>
  <c r="I363" i="1"/>
  <c r="H362" i="1"/>
  <c r="I362" i="1" s="1"/>
  <c r="H360" i="1"/>
  <c r="I360" i="1" s="1"/>
  <c r="H361" i="1"/>
  <c r="I361" i="1" s="1"/>
  <c r="I349" i="1"/>
  <c r="H340" i="1"/>
  <c r="I340" i="1"/>
  <c r="I342" i="1"/>
  <c r="H342" i="1"/>
  <c r="G344" i="1"/>
  <c r="G345" i="1" s="1"/>
  <c r="G346" i="1" s="1"/>
  <c r="G347" i="1" s="1"/>
  <c r="H343" i="1"/>
  <c r="I356" i="1"/>
  <c r="I343" i="1"/>
  <c r="H341" i="1"/>
  <c r="I341" i="1"/>
  <c r="H368" i="1" l="1"/>
  <c r="I368" i="1" s="1"/>
  <c r="H366" i="1"/>
  <c r="I366" i="1" s="1"/>
  <c r="G370" i="1"/>
  <c r="H369" i="1"/>
  <c r="I369" i="1" s="1"/>
  <c r="H367" i="1"/>
  <c r="G348" i="1"/>
  <c r="H347" i="1"/>
  <c r="I347" i="1" s="1"/>
  <c r="H344" i="1"/>
  <c r="I344" i="1" s="1"/>
  <c r="H346" i="1"/>
  <c r="I346" i="1" s="1"/>
  <c r="H345" i="1"/>
  <c r="I345" i="1" s="1"/>
  <c r="G371" i="1" l="1"/>
  <c r="H370" i="1"/>
  <c r="G349" i="1"/>
  <c r="H348" i="1"/>
  <c r="I348" i="1" s="1"/>
  <c r="G372" i="1" l="1"/>
  <c r="H371" i="1"/>
  <c r="I371" i="1" s="1"/>
  <c r="G350" i="1"/>
  <c r="H349" i="1"/>
  <c r="G373" i="1" l="1"/>
  <c r="H372" i="1"/>
  <c r="I372" i="1" s="1"/>
  <c r="G351" i="1"/>
  <c r="H350" i="1"/>
  <c r="I350" i="1" s="1"/>
  <c r="G374" i="1" l="1"/>
  <c r="H373" i="1"/>
  <c r="I373" i="1" s="1"/>
  <c r="G352" i="1"/>
  <c r="H351" i="1"/>
  <c r="I351" i="1" s="1"/>
  <c r="G375" i="1" l="1"/>
  <c r="H374" i="1"/>
  <c r="I374" i="1" s="1"/>
  <c r="G353" i="1"/>
  <c r="H352" i="1"/>
  <c r="I352" i="1" s="1"/>
  <c r="G376" i="1" l="1"/>
  <c r="H376" i="1" s="1"/>
  <c r="I376" i="1" s="1"/>
  <c r="H375" i="1"/>
  <c r="I375" i="1" s="1"/>
  <c r="G354" i="1"/>
  <c r="H353" i="1"/>
  <c r="I353" i="1" s="1"/>
  <c r="G355" i="1" l="1"/>
  <c r="H354" i="1"/>
  <c r="I354" i="1" s="1"/>
  <c r="G356" i="1" l="1"/>
  <c r="H355" i="1"/>
  <c r="I355" i="1" s="1"/>
  <c r="G357" i="1" l="1"/>
  <c r="H356" i="1"/>
  <c r="G358" i="1" l="1"/>
  <c r="H357" i="1"/>
  <c r="I357" i="1" s="1"/>
  <c r="G359" i="1" l="1"/>
  <c r="H359" i="1" s="1"/>
  <c r="I359" i="1" s="1"/>
  <c r="H358" i="1"/>
  <c r="I358" i="1" s="1"/>
</calcChain>
</file>

<file path=xl/sharedStrings.xml><?xml version="1.0" encoding="utf-8"?>
<sst xmlns="http://schemas.openxmlformats.org/spreadsheetml/2006/main" count="25" uniqueCount="25">
  <si>
    <t>data</t>
  </si>
  <si>
    <t>dzien</t>
  </si>
  <si>
    <t>miesiac</t>
  </si>
  <si>
    <t>rok</t>
  </si>
  <si>
    <t>dzien tyg</t>
  </si>
  <si>
    <t>ile drazy</t>
  </si>
  <si>
    <t>efektywnosc</t>
  </si>
  <si>
    <t>pierwszy dzien miesiaca?</t>
  </si>
  <si>
    <t>efektywnosc v2</t>
  </si>
  <si>
    <t>ile wydrazyla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</si>
  <si>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</si>
  <si>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</si>
  <si>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</si>
  <si>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</si>
  <si>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</si>
  <si>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</si>
  <si>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</si>
  <si>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</si>
  <si>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</si>
  <si>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</si>
  <si>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</si>
  <si>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</si>
  <si>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</si>
  <si>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</si>
  <si>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Suma z ile drazy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</si>
</sst>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[zad5.xlsx]Arkusz1!Tabela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wydrążone</a:t>
            </a:r>
            <a:r>
              <a:rPr lang="pl-PL" baseline="0"/>
              <a:t> kilometry w każdym miesiącu drążenia tunelu podmorskiego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Arkusz1!$O$4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Arkusz1!$N$5:$N$17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Arkusz1!$O$5:$O$17</c:f>
              <c:numCache>
                <c:formatCode>General</c:formatCode>
                <c:ptCount val="12"/>
                <c:pt idx="0">
                  <c:v>12.740000000000004</c:v>
                </c:pt>
                <c:pt idx="1">
                  <c:v>11.270000000000003</c:v>
                </c:pt>
                <c:pt idx="2">
                  <c:v>12.250000000000004</c:v>
                </c:pt>
                <c:pt idx="3">
                  <c:v>12.250000000000004</c:v>
                </c:pt>
                <c:pt idx="4">
                  <c:v>29.409999999999986</c:v>
                </c:pt>
                <c:pt idx="5">
                  <c:v>15.840000000000002</c:v>
                </c:pt>
                <c:pt idx="6">
                  <c:v>12.750000000000004</c:v>
                </c:pt>
                <c:pt idx="7">
                  <c:v>12.740000000000004</c:v>
                </c:pt>
                <c:pt idx="8">
                  <c:v>12.250000000000004</c:v>
                </c:pt>
                <c:pt idx="9">
                  <c:v>12.740000000000004</c:v>
                </c:pt>
                <c:pt idx="10">
                  <c:v>12.250000000000004</c:v>
                </c:pt>
                <c:pt idx="11">
                  <c:v>12.740000000000004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5-43E1-80AB-CE07A78AD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4184959"/>
        <c:axId val="516451407"/>
      </c:barChart>
      <c:catAx>
        <c:axId val="165418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6451407"/>
        <c:crosses val="autoZero"/>
        <c:auto val="1"/>
        <c:lblAlgn val="ctr"/>
        <c:lblOffset val="100"/>
        <c:noMultiLvlLbl val="0"/>
      </c:catAx>
      <c:valAx>
        <c:axId val="51645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5418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18</xdr:row>
      <xdr:rowOff>4762</xdr:rowOff>
    </xdr:from>
    <xdr:to>
      <xdr:col>16</xdr:col>
      <xdr:colOff>590550</xdr:colOff>
      <xdr:row>32</xdr:row>
      <xdr:rowOff>80962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5AFC870-E99D-9751-1810-519D6DDD9D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ura" refreshedDate="46096.499631018516" createdVersion="8" refreshedVersion="8" minRefreshableVersion="3" recordCount="375" xr:uid="{6FD6611A-9646-4A99-BEFA-CB160044EC30}">
  <cacheSource type="worksheet">
    <worksheetSource ref="A1:J376" sheet="Arkusz1"/>
  </cacheSource>
  <cacheFields count="13">
    <cacheField name="data" numFmtId="14">
      <sharedItems containsSemiMixedTypes="0" containsNonDate="0" containsDate="1" containsString="0" minDate="2030-05-01T00:00:00" maxDate="2031-05-11T00:00:00" count="375">
        <d v="2030-05-01T00:00:00"/>
        <d v="2030-05-02T00:00:00"/>
        <d v="2030-05-03T00:00:00"/>
        <d v="2030-05-04T00:00:00"/>
        <d v="2030-05-05T00:00:00"/>
        <d v="2030-05-06T00:00:00"/>
        <d v="2030-05-07T00:00:00"/>
        <d v="2030-05-08T00:00:00"/>
        <d v="2030-05-09T00:00:00"/>
        <d v="2030-05-10T00:00:00"/>
        <d v="2030-05-11T00:00:00"/>
        <d v="2030-05-12T00:00:00"/>
        <d v="2030-05-13T00:00:00"/>
        <d v="2030-05-14T00:00:00"/>
        <d v="2030-05-15T00:00:00"/>
        <d v="2030-05-16T00:00:00"/>
        <d v="2030-05-17T00:00:00"/>
        <d v="2030-05-18T00:00:00"/>
        <d v="2030-05-19T00:00:00"/>
        <d v="2030-05-20T00:00:00"/>
        <d v="2030-05-21T00:00:00"/>
        <d v="2030-05-22T00:00:00"/>
        <d v="2030-05-23T00:00:00"/>
        <d v="2030-05-24T00:00:00"/>
        <d v="2030-05-25T00:00:00"/>
        <d v="2030-05-26T00:00:00"/>
        <d v="2030-05-27T00:00:00"/>
        <d v="2030-05-28T00:00:00"/>
        <d v="2030-05-29T00:00:00"/>
        <d v="2030-05-30T00:00:00"/>
        <d v="2030-05-31T00:00:00"/>
        <d v="2030-06-01T00:00:00"/>
        <d v="2030-06-02T00:00:00"/>
        <d v="2030-06-03T00:00:00"/>
        <d v="2030-06-04T00:00:00"/>
        <d v="2030-06-05T00:00:00"/>
        <d v="2030-06-06T00:00:00"/>
        <d v="2030-06-07T00:00:00"/>
        <d v="2030-06-08T00:00:00"/>
        <d v="2030-06-09T00:00:00"/>
        <d v="2030-06-10T00:00:00"/>
        <d v="2030-06-11T00:00:00"/>
        <d v="2030-06-12T00:00:00"/>
        <d v="2030-06-13T00:00:00"/>
        <d v="2030-06-14T00:00:00"/>
        <d v="2030-06-15T00:00:00"/>
        <d v="2030-06-16T00:00:00"/>
        <d v="2030-06-17T00:00:00"/>
        <d v="2030-06-18T00:00:00"/>
        <d v="2030-06-19T00:00:00"/>
        <d v="2030-06-20T00:00:00"/>
        <d v="2030-06-21T00:00:00"/>
        <d v="2030-06-22T00:00:00"/>
        <d v="2030-06-23T00:00:00"/>
        <d v="2030-06-24T00:00:00"/>
        <d v="2030-06-25T00:00:00"/>
        <d v="2030-06-26T00:00:00"/>
        <d v="2030-06-27T00:00:00"/>
        <d v="2030-06-28T00:00:00"/>
        <d v="2030-06-29T00:00:00"/>
        <d v="2030-06-30T00:00:00"/>
        <d v="2030-07-01T00:00:00"/>
        <d v="2030-07-02T00:00:00"/>
        <d v="2030-07-03T00:00:00"/>
        <d v="2030-07-04T00:00:00"/>
        <d v="2030-07-05T00:00:00"/>
        <d v="2030-07-06T00:00:00"/>
        <d v="2030-07-07T00:00:00"/>
        <d v="2030-07-08T00:00:00"/>
        <d v="2030-07-09T00:00:00"/>
        <d v="2030-07-10T00:00:00"/>
        <d v="2030-07-11T00:00:00"/>
        <d v="2030-07-12T00:00:00"/>
        <d v="2030-07-13T00:00:00"/>
        <d v="2030-07-14T00:00:00"/>
        <d v="2030-07-15T00:00:00"/>
        <d v="2030-07-16T00:00:00"/>
        <d v="2030-07-17T00:00:00"/>
        <d v="2030-07-18T00:00:00"/>
        <d v="2030-07-19T00:00:00"/>
        <d v="2030-07-20T00:00:00"/>
        <d v="2030-07-21T00:00:00"/>
        <d v="2030-07-22T00:00:00"/>
        <d v="2030-07-23T00:00:00"/>
        <d v="2030-07-24T00:00:00"/>
        <d v="2030-07-25T00:00:00"/>
        <d v="2030-07-26T00:00:00"/>
        <d v="2030-07-27T00:00:00"/>
        <d v="2030-07-28T00:00:00"/>
        <d v="2030-07-29T00:00:00"/>
        <d v="2030-07-30T00:00:00"/>
        <d v="2030-07-31T00:00:00"/>
        <d v="2030-08-01T00:00:00"/>
        <d v="2030-08-02T00:00:00"/>
        <d v="2030-08-03T00:00:00"/>
        <d v="2030-08-04T00:00:00"/>
        <d v="2030-08-05T00:00:00"/>
        <d v="2030-08-06T00:00:00"/>
        <d v="2030-08-07T00:00:00"/>
        <d v="2030-08-08T00:00:00"/>
        <d v="2030-08-09T00:00:00"/>
        <d v="2030-08-10T00:00:00"/>
        <d v="2030-08-11T00:00:00"/>
        <d v="2030-08-12T00:00:00"/>
        <d v="2030-08-13T00:00:00"/>
        <d v="2030-08-14T00:00:00"/>
        <d v="2030-08-15T00:00:00"/>
        <d v="2030-08-16T00:00:00"/>
        <d v="2030-08-17T00:00:00"/>
        <d v="2030-08-18T00:00:00"/>
        <d v="2030-08-19T00:00:00"/>
        <d v="2030-08-20T00:00:00"/>
        <d v="2030-08-21T00:00:00"/>
        <d v="2030-08-22T00:00:00"/>
        <d v="2030-08-23T00:00:00"/>
        <d v="2030-08-24T00:00:00"/>
        <d v="2030-08-25T00:00:00"/>
        <d v="2030-08-26T00:00:00"/>
        <d v="2030-08-27T00:00:00"/>
        <d v="2030-08-28T00:00:00"/>
        <d v="2030-08-29T00:00:00"/>
        <d v="2030-08-30T00:00:00"/>
        <d v="2030-08-31T00:00:00"/>
        <d v="2030-09-01T00:00:00"/>
        <d v="2030-09-02T00:00:00"/>
        <d v="2030-09-03T00:00:00"/>
        <d v="2030-09-04T00:00:00"/>
        <d v="2030-09-05T00:00:00"/>
        <d v="2030-09-06T00:00:00"/>
        <d v="2030-09-07T00:00:00"/>
        <d v="2030-09-08T00:00:00"/>
        <d v="2030-09-09T00:00:00"/>
        <d v="2030-09-10T00:00:00"/>
        <d v="2030-09-11T00:00:00"/>
        <d v="2030-09-12T00:00:00"/>
        <d v="2030-09-13T00:00:00"/>
        <d v="2030-09-14T00:00:00"/>
        <d v="2030-09-15T00:00:00"/>
        <d v="2030-09-16T00:00:00"/>
        <d v="2030-09-17T00:00:00"/>
        <d v="2030-09-18T00:00:00"/>
        <d v="2030-09-19T00:00:00"/>
        <d v="2030-09-20T00:00:00"/>
        <d v="2030-09-21T00:00:00"/>
        <d v="2030-09-22T00:00:00"/>
        <d v="2030-09-23T00:00:00"/>
        <d v="2030-09-24T00:00:00"/>
        <d v="2030-09-25T00:00:00"/>
        <d v="2030-09-26T00:00:00"/>
        <d v="2030-09-27T00:00:00"/>
        <d v="2030-09-28T00:00:00"/>
        <d v="2030-09-29T00:00:00"/>
        <d v="2030-09-30T00:00:00"/>
        <d v="2030-10-01T00:00:00"/>
        <d v="2030-10-02T00:00:00"/>
        <d v="2030-10-03T00:00:00"/>
        <d v="2030-10-04T00:00:00"/>
        <d v="2030-10-05T00:00:00"/>
        <d v="2030-10-06T00:00:00"/>
        <d v="2030-10-07T00:00:00"/>
        <d v="2030-10-08T00:00:00"/>
        <d v="2030-10-09T00:00:00"/>
        <d v="2030-10-10T00:00:00"/>
        <d v="2030-10-11T00:00:00"/>
        <d v="2030-10-12T00:00:00"/>
        <d v="2030-10-13T00:00:00"/>
        <d v="2030-10-14T00:00:00"/>
        <d v="2030-10-15T00:00:00"/>
        <d v="2030-10-16T00:00:00"/>
        <d v="2030-10-17T00:00:00"/>
        <d v="2030-10-18T00:00:00"/>
        <d v="2030-10-19T00:00:00"/>
        <d v="2030-10-20T00:00:00"/>
        <d v="2030-10-21T00:00:00"/>
        <d v="2030-10-22T00:00:00"/>
        <d v="2030-10-23T00:00:00"/>
        <d v="2030-10-24T00:00:00"/>
        <d v="2030-10-25T00:00:00"/>
        <d v="2030-10-26T00:00:00"/>
        <d v="2030-10-27T00:00:00"/>
        <d v="2030-10-28T00:00:00"/>
        <d v="2030-10-29T00:00:00"/>
        <d v="2030-10-30T00:00:00"/>
        <d v="2030-10-31T00:00:00"/>
        <d v="2030-11-01T00:00:00"/>
        <d v="2030-11-02T00:00:00"/>
        <d v="2030-11-03T00:00:00"/>
        <d v="2030-11-04T00:00:00"/>
        <d v="2030-11-05T00:00:00"/>
        <d v="2030-11-06T00:00:00"/>
        <d v="2030-11-07T00:00:00"/>
        <d v="2030-11-08T00:00:00"/>
        <d v="2030-11-09T00:00:00"/>
        <d v="2030-11-10T00:00:00"/>
        <d v="2030-11-11T00:00:00"/>
        <d v="2030-11-12T00:00:00"/>
        <d v="2030-11-13T00:00:00"/>
        <d v="2030-11-14T00:00:00"/>
        <d v="2030-11-15T00:00:00"/>
        <d v="2030-11-16T00:00:00"/>
        <d v="2030-11-17T00:00:00"/>
        <d v="2030-11-18T00:00:00"/>
        <d v="2030-11-19T00:00:00"/>
        <d v="2030-11-20T00:00:00"/>
        <d v="2030-11-21T00:00:00"/>
        <d v="2030-11-22T00:00:00"/>
        <d v="2030-11-23T00:00:00"/>
        <d v="2030-11-24T00:00:00"/>
        <d v="2030-11-25T00:00:00"/>
        <d v="2030-11-26T00:00:00"/>
        <d v="2030-11-27T00:00:00"/>
        <d v="2030-11-28T00:00:00"/>
        <d v="2030-11-29T00:00:00"/>
        <d v="2030-11-30T00:00:00"/>
        <d v="2030-12-01T00:00:00"/>
        <d v="2030-12-02T00:00:00"/>
        <d v="2030-12-03T00:00:00"/>
        <d v="2030-12-04T00:00:00"/>
        <d v="2030-12-05T00:00:00"/>
        <d v="2030-12-06T00:00:00"/>
        <d v="2030-12-07T00:00:00"/>
        <d v="2030-12-08T00:00:00"/>
        <d v="2030-12-09T00:00:00"/>
        <d v="2030-12-10T00:00:00"/>
        <d v="2030-12-11T00:00:00"/>
        <d v="2030-12-12T00:00:00"/>
        <d v="2030-12-13T00:00:00"/>
        <d v="2030-12-14T00:00:00"/>
        <d v="2030-12-15T00:00:00"/>
        <d v="2030-12-16T00:00:00"/>
        <d v="2030-12-17T00:00:00"/>
        <d v="2030-12-18T00:00:00"/>
        <d v="2030-12-19T00:00:00"/>
        <d v="2030-12-20T00:00:00"/>
        <d v="2030-12-21T00:00:00"/>
        <d v="2030-12-22T00:00:00"/>
        <d v="2030-12-23T00:00:00"/>
        <d v="2030-12-24T00:00:00"/>
        <d v="2030-12-25T00:00:00"/>
        <d v="2030-12-26T00:00:00"/>
        <d v="2030-12-27T00:00:00"/>
        <d v="2030-12-28T00:00:00"/>
        <d v="2030-12-29T00:00:00"/>
        <d v="2030-12-30T00:00:00"/>
        <d v="2030-12-31T00:00:00"/>
        <d v="2031-01-01T00:00:00"/>
        <d v="2031-01-02T00:00:00"/>
        <d v="2031-01-03T00:00:00"/>
        <d v="2031-01-04T00:00:00"/>
        <d v="2031-01-05T00:00:00"/>
        <d v="2031-01-06T00:00:00"/>
        <d v="2031-01-07T00:00:00"/>
        <d v="2031-01-08T00:00:00"/>
        <d v="2031-01-09T00:00:00"/>
        <d v="2031-01-10T00:00:00"/>
        <d v="2031-01-11T00:00:00"/>
        <d v="2031-01-12T00:00:00"/>
        <d v="2031-01-13T00:00:00"/>
        <d v="2031-01-14T00:00:00"/>
        <d v="2031-01-15T00:00:00"/>
        <d v="2031-01-16T00:00:00"/>
        <d v="2031-01-17T00:00:00"/>
        <d v="2031-01-18T00:00:00"/>
        <d v="2031-01-19T00:00:00"/>
        <d v="2031-01-20T00:00:00"/>
        <d v="2031-01-21T00:00:00"/>
        <d v="2031-01-22T00:00:00"/>
        <d v="2031-01-23T00:00:00"/>
        <d v="2031-01-24T00:00:00"/>
        <d v="2031-01-25T00:00:00"/>
        <d v="2031-01-26T00:00:00"/>
        <d v="2031-01-27T00:00:00"/>
        <d v="2031-01-28T00:00:00"/>
        <d v="2031-01-29T00:00:00"/>
        <d v="2031-01-30T00:00:00"/>
        <d v="2031-01-31T00:00:00"/>
        <d v="2031-02-01T00:00:00"/>
        <d v="2031-02-02T00:00:00"/>
        <d v="2031-02-03T00:00:00"/>
        <d v="2031-02-04T00:00:00"/>
        <d v="2031-02-05T00:00:00"/>
        <d v="2031-02-06T00:00:00"/>
        <d v="2031-02-07T00:00:00"/>
        <d v="2031-02-08T00:00:00"/>
        <d v="2031-02-09T00:00:00"/>
        <d v="2031-02-10T00:00:00"/>
        <d v="2031-02-11T00:00:00"/>
        <d v="2031-02-12T00:00:00"/>
        <d v="2031-02-13T00:00:00"/>
        <d v="2031-02-14T00:00:00"/>
        <d v="2031-02-15T00:00:00"/>
        <d v="2031-02-16T00:00:00"/>
        <d v="2031-02-17T00:00:00"/>
        <d v="2031-02-18T00:00:00"/>
        <d v="2031-02-19T00:00:00"/>
        <d v="2031-02-20T00:00:00"/>
        <d v="2031-02-21T00:00:00"/>
        <d v="2031-02-22T00:00:00"/>
        <d v="2031-02-23T00:00:00"/>
        <d v="2031-02-24T00:00:00"/>
        <d v="2031-02-25T00:00:00"/>
        <d v="2031-02-26T00:00:00"/>
        <d v="2031-02-27T00:00:00"/>
        <d v="2031-02-28T00:00:00"/>
        <d v="2031-03-01T00:00:00"/>
        <d v="2031-03-02T00:00:00"/>
        <d v="2031-03-03T00:00:00"/>
        <d v="2031-03-04T00:00:00"/>
        <d v="2031-03-05T00:00:00"/>
        <d v="2031-03-06T00:00:00"/>
        <d v="2031-03-07T00:00:00"/>
        <d v="2031-03-08T00:00:00"/>
        <d v="2031-03-09T00:00:00"/>
        <d v="2031-03-10T00:00:00"/>
        <d v="2031-03-11T00:00:00"/>
        <d v="2031-03-12T00:00:00"/>
        <d v="2031-03-13T00:00:00"/>
        <d v="2031-03-14T00:00:00"/>
        <d v="2031-03-15T00:00:00"/>
        <d v="2031-03-16T00:00:00"/>
        <d v="2031-03-17T00:00:00"/>
        <d v="2031-03-18T00:00:00"/>
        <d v="2031-03-19T00:00:00"/>
        <d v="2031-03-20T00:00:00"/>
        <d v="2031-03-21T00:00:00"/>
        <d v="2031-03-22T00:00:00"/>
        <d v="2031-03-23T00:00:00"/>
        <d v="2031-03-24T00:00:00"/>
        <d v="2031-03-25T00:00:00"/>
        <d v="2031-03-26T00:00:00"/>
        <d v="2031-03-27T00:00:00"/>
        <d v="2031-03-28T00:00:00"/>
        <d v="2031-03-29T00:00:00"/>
        <d v="2031-03-30T00:00:00"/>
        <d v="2031-03-31T00:00:00"/>
        <d v="2031-04-01T00:00:00"/>
        <d v="2031-04-02T00:00:00"/>
        <d v="2031-04-03T00:00:00"/>
        <d v="2031-04-04T00:00:00"/>
        <d v="2031-04-05T00:00:00"/>
        <d v="2031-04-06T00:00:00"/>
        <d v="2031-04-07T00:00:00"/>
        <d v="2031-04-08T00:00:00"/>
        <d v="2031-04-09T00:00:00"/>
        <d v="2031-04-10T00:00:00"/>
        <d v="2031-04-11T00:00:00"/>
        <d v="2031-04-12T00:00:00"/>
        <d v="2031-04-13T00:00:00"/>
        <d v="2031-04-14T00:00:00"/>
        <d v="2031-04-15T00:00:00"/>
        <d v="2031-04-16T00:00:00"/>
        <d v="2031-04-17T00:00:00"/>
        <d v="2031-04-18T00:00:00"/>
        <d v="2031-04-19T00:00:00"/>
        <d v="2031-04-20T00:00:00"/>
        <d v="2031-04-21T00:00:00"/>
        <d v="2031-04-22T00:00:00"/>
        <d v="2031-04-23T00:00:00"/>
        <d v="2031-04-24T00:00:00"/>
        <d v="2031-04-25T00:00:00"/>
        <d v="2031-04-26T00:00:00"/>
        <d v="2031-04-27T00:00:00"/>
        <d v="2031-04-28T00:00:00"/>
        <d v="2031-04-29T00:00:00"/>
        <d v="2031-04-30T00:00:00"/>
        <d v="2031-05-01T00:00:00"/>
        <d v="2031-05-02T00:00:00"/>
        <d v="2031-05-03T00:00:00"/>
        <d v="2031-05-04T00:00:00"/>
        <d v="2031-05-05T00:00:00"/>
        <d v="2031-05-06T00:00:00"/>
        <d v="2031-05-07T00:00:00"/>
        <d v="2031-05-08T00:00:00"/>
        <d v="2031-05-09T00:00:00"/>
        <d v="2031-05-10T00:00:00"/>
      </sharedItems>
      <fieldGroup par="12"/>
    </cacheField>
    <cacheField name="dzien" numFmtId="0">
      <sharedItems containsSemiMixedTypes="0" containsString="0" containsNumber="1" containsInteger="1" minValue="1" maxValue="31"/>
    </cacheField>
    <cacheField name="miesiac" numFmtId="0">
      <sharedItems containsSemiMixedTypes="0" containsString="0" containsNumber="1" containsInteger="1" minValue="1" maxValue="12"/>
    </cacheField>
    <cacheField name="rok" numFmtId="0">
      <sharedItems containsSemiMixedTypes="0" containsString="0" containsNumber="1" containsInteger="1" minValue="2030" maxValue="2031"/>
    </cacheField>
    <cacheField name="dzien tyg" numFmtId="0">
      <sharedItems containsSemiMixedTypes="0" containsString="0" containsNumber="1" containsInteger="1" minValue="1" maxValue="7"/>
    </cacheField>
    <cacheField name="pierwszy dzien miesiaca?" numFmtId="0">
      <sharedItems containsSemiMixedTypes="0" containsString="0" containsNumber="1" containsInteger="1" minValue="0" maxValue="1"/>
    </cacheField>
    <cacheField name="efektywnosc" numFmtId="0">
      <sharedItems containsSemiMixedTypes="0" containsString="0" containsNumber="1" minValue="0.49" maxValue="1"/>
    </cacheField>
    <cacheField name="efektywnosc v2" numFmtId="0">
      <sharedItems containsSemiMixedTypes="0" containsString="0" containsNumber="1" minValue="0.49" maxValue="1"/>
    </cacheField>
    <cacheField name="ile drazy" numFmtId="0">
      <sharedItems containsSemiMixedTypes="0" containsString="0" containsNumber="1" minValue="0" maxValue="1"/>
    </cacheField>
    <cacheField name="ile wydrazyla" numFmtId="0">
      <sharedItems containsSemiMixedTypes="0" containsString="0" containsNumber="1" minValue="1" maxValue="169.23000000000019"/>
    </cacheField>
    <cacheField name="Miesiące (data)" numFmtId="0" databaseField="0">
      <fieldGroup base="0">
        <rangePr groupBy="months" startDate="2030-05-01T00:00:00" endDate="2031-05-11T00:00:00"/>
        <groupItems count="14">
          <s v="&lt;01.05.2030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11.05.2031"/>
        </groupItems>
      </fieldGroup>
    </cacheField>
    <cacheField name="Kwartały (data)" numFmtId="0" databaseField="0">
      <fieldGroup base="0">
        <rangePr groupBy="quarters" startDate="2030-05-01T00:00:00" endDate="2031-05-11T00:00:00"/>
        <groupItems count="6">
          <s v="&lt;01.05.2030"/>
          <s v="Kwartał1"/>
          <s v="Kwartał2"/>
          <s v="Kwartał3"/>
          <s v="Kwartał4"/>
          <s v="&gt;11.05.2031"/>
        </groupItems>
      </fieldGroup>
    </cacheField>
    <cacheField name="Lata (data)" numFmtId="0" databaseField="0">
      <fieldGroup base="0">
        <rangePr groupBy="years" startDate="2030-05-01T00:00:00" endDate="2031-05-11T00:00:00"/>
        <groupItems count="4">
          <s v="&lt;01.05.2030"/>
          <s v="2030"/>
          <s v="2031"/>
          <s v="&gt;11.05.20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5">
  <r>
    <x v="0"/>
    <n v="1"/>
    <n v="5"/>
    <n v="2030"/>
    <n v="3"/>
    <n v="0"/>
    <n v="1"/>
    <n v="1"/>
    <n v="1"/>
    <n v="1"/>
  </r>
  <r>
    <x v="1"/>
    <n v="2"/>
    <n v="5"/>
    <n v="2030"/>
    <n v="4"/>
    <n v="0"/>
    <n v="1"/>
    <n v="1"/>
    <n v="1"/>
    <n v="2"/>
  </r>
  <r>
    <x v="2"/>
    <n v="3"/>
    <n v="5"/>
    <n v="2030"/>
    <n v="5"/>
    <n v="0"/>
    <n v="1"/>
    <n v="1"/>
    <n v="1"/>
    <n v="3"/>
  </r>
  <r>
    <x v="3"/>
    <n v="4"/>
    <n v="5"/>
    <n v="2030"/>
    <n v="6"/>
    <n v="0"/>
    <n v="1"/>
    <n v="1"/>
    <n v="1"/>
    <n v="4"/>
  </r>
  <r>
    <x v="4"/>
    <n v="5"/>
    <n v="5"/>
    <n v="2030"/>
    <n v="7"/>
    <n v="0"/>
    <n v="1"/>
    <n v="1"/>
    <n v="0"/>
    <n v="4"/>
  </r>
  <r>
    <x v="5"/>
    <n v="6"/>
    <n v="5"/>
    <n v="2030"/>
    <n v="1"/>
    <n v="0"/>
    <n v="1"/>
    <n v="1"/>
    <n v="1"/>
    <n v="5"/>
  </r>
  <r>
    <x v="6"/>
    <n v="7"/>
    <n v="5"/>
    <n v="2030"/>
    <n v="2"/>
    <n v="0"/>
    <n v="1"/>
    <n v="1"/>
    <n v="1"/>
    <n v="6"/>
  </r>
  <r>
    <x v="7"/>
    <n v="8"/>
    <n v="5"/>
    <n v="2030"/>
    <n v="3"/>
    <n v="0"/>
    <n v="1"/>
    <n v="1"/>
    <n v="1"/>
    <n v="7"/>
  </r>
  <r>
    <x v="8"/>
    <n v="9"/>
    <n v="5"/>
    <n v="2030"/>
    <n v="4"/>
    <n v="0"/>
    <n v="1"/>
    <n v="1"/>
    <n v="1"/>
    <n v="8"/>
  </r>
  <r>
    <x v="9"/>
    <n v="10"/>
    <n v="5"/>
    <n v="2030"/>
    <n v="5"/>
    <n v="0"/>
    <n v="1"/>
    <n v="1"/>
    <n v="1"/>
    <n v="9"/>
  </r>
  <r>
    <x v="10"/>
    <n v="11"/>
    <n v="5"/>
    <n v="2030"/>
    <n v="6"/>
    <n v="0"/>
    <n v="1"/>
    <n v="1"/>
    <n v="1"/>
    <n v="10"/>
  </r>
  <r>
    <x v="11"/>
    <n v="12"/>
    <n v="5"/>
    <n v="2030"/>
    <n v="7"/>
    <n v="0"/>
    <n v="1"/>
    <n v="1"/>
    <n v="0"/>
    <n v="10"/>
  </r>
  <r>
    <x v="12"/>
    <n v="13"/>
    <n v="5"/>
    <n v="2030"/>
    <n v="1"/>
    <n v="0"/>
    <n v="1"/>
    <n v="1"/>
    <n v="1"/>
    <n v="11"/>
  </r>
  <r>
    <x v="13"/>
    <n v="14"/>
    <n v="5"/>
    <n v="2030"/>
    <n v="2"/>
    <n v="0"/>
    <n v="1"/>
    <n v="1"/>
    <n v="1"/>
    <n v="12"/>
  </r>
  <r>
    <x v="14"/>
    <n v="15"/>
    <n v="5"/>
    <n v="2030"/>
    <n v="3"/>
    <n v="0"/>
    <n v="0.98"/>
    <n v="0.98"/>
    <n v="0.98"/>
    <n v="12.98"/>
  </r>
  <r>
    <x v="15"/>
    <n v="16"/>
    <n v="5"/>
    <n v="2030"/>
    <n v="4"/>
    <n v="0"/>
    <n v="0.97"/>
    <n v="0.97"/>
    <n v="0.97"/>
    <n v="13.950000000000001"/>
  </r>
  <r>
    <x v="16"/>
    <n v="17"/>
    <n v="5"/>
    <n v="2030"/>
    <n v="5"/>
    <n v="0"/>
    <n v="0.96"/>
    <n v="0.96"/>
    <n v="0.96"/>
    <n v="14.91"/>
  </r>
  <r>
    <x v="17"/>
    <n v="18"/>
    <n v="5"/>
    <n v="2030"/>
    <n v="6"/>
    <n v="0"/>
    <n v="0.95"/>
    <n v="0.95"/>
    <n v="0.95"/>
    <n v="15.86"/>
  </r>
  <r>
    <x v="18"/>
    <n v="19"/>
    <n v="5"/>
    <n v="2030"/>
    <n v="7"/>
    <n v="0"/>
    <n v="0.94000000000000006"/>
    <n v="0.94000000000000006"/>
    <n v="0"/>
    <n v="15.86"/>
  </r>
  <r>
    <x v="19"/>
    <n v="20"/>
    <n v="5"/>
    <n v="2030"/>
    <n v="1"/>
    <n v="0"/>
    <n v="0.93"/>
    <n v="0.93"/>
    <n v="0.93"/>
    <n v="16.79"/>
  </r>
  <r>
    <x v="20"/>
    <n v="21"/>
    <n v="5"/>
    <n v="2030"/>
    <n v="2"/>
    <n v="0"/>
    <n v="0.92"/>
    <n v="0.92"/>
    <n v="0.92"/>
    <n v="17.71"/>
  </r>
  <r>
    <x v="21"/>
    <n v="22"/>
    <n v="5"/>
    <n v="2030"/>
    <n v="3"/>
    <n v="0"/>
    <n v="0.91"/>
    <n v="0.91"/>
    <n v="0.91"/>
    <n v="18.62"/>
  </r>
  <r>
    <x v="22"/>
    <n v="23"/>
    <n v="5"/>
    <n v="2030"/>
    <n v="4"/>
    <n v="0"/>
    <n v="0.9"/>
    <n v="0.9"/>
    <n v="0.9"/>
    <n v="19.52"/>
  </r>
  <r>
    <x v="23"/>
    <n v="24"/>
    <n v="5"/>
    <n v="2030"/>
    <n v="5"/>
    <n v="0"/>
    <n v="0.89"/>
    <n v="0.89"/>
    <n v="0.89"/>
    <n v="20.41"/>
  </r>
  <r>
    <x v="24"/>
    <n v="25"/>
    <n v="5"/>
    <n v="2030"/>
    <n v="6"/>
    <n v="0"/>
    <n v="0.88"/>
    <n v="0.88"/>
    <n v="0.88"/>
    <n v="21.29"/>
  </r>
  <r>
    <x v="25"/>
    <n v="26"/>
    <n v="5"/>
    <n v="2030"/>
    <n v="7"/>
    <n v="0"/>
    <n v="0.87"/>
    <n v="0.87"/>
    <n v="0"/>
    <n v="21.29"/>
  </r>
  <r>
    <x v="26"/>
    <n v="27"/>
    <n v="5"/>
    <n v="2030"/>
    <n v="1"/>
    <n v="0"/>
    <n v="0.86"/>
    <n v="0.86"/>
    <n v="0.86"/>
    <n v="22.15"/>
  </r>
  <r>
    <x v="27"/>
    <n v="28"/>
    <n v="5"/>
    <n v="2030"/>
    <n v="2"/>
    <n v="0"/>
    <n v="0.85"/>
    <n v="0.85"/>
    <n v="0.85"/>
    <n v="23"/>
  </r>
  <r>
    <x v="28"/>
    <n v="29"/>
    <n v="5"/>
    <n v="2030"/>
    <n v="3"/>
    <n v="0"/>
    <n v="0.84"/>
    <n v="0.84"/>
    <n v="0.84"/>
    <n v="23.84"/>
  </r>
  <r>
    <x v="29"/>
    <n v="30"/>
    <n v="5"/>
    <n v="2030"/>
    <n v="4"/>
    <n v="0"/>
    <n v="0.83"/>
    <n v="0.83"/>
    <n v="0.83"/>
    <n v="24.669999999999998"/>
  </r>
  <r>
    <x v="30"/>
    <n v="31"/>
    <n v="5"/>
    <n v="2030"/>
    <n v="5"/>
    <n v="0"/>
    <n v="0.82000000000000006"/>
    <n v="0.82000000000000006"/>
    <n v="0.82000000000000006"/>
    <n v="25.49"/>
  </r>
  <r>
    <x v="31"/>
    <n v="1"/>
    <n v="6"/>
    <n v="2030"/>
    <n v="6"/>
    <n v="1"/>
    <n v="0.81"/>
    <n v="0.93149999999999999"/>
    <n v="0"/>
    <n v="25.49"/>
  </r>
  <r>
    <x v="32"/>
    <n v="2"/>
    <n v="6"/>
    <n v="2030"/>
    <n v="7"/>
    <n v="0"/>
    <n v="0.8"/>
    <n v="0.8"/>
    <n v="0"/>
    <n v="25.49"/>
  </r>
  <r>
    <x v="33"/>
    <n v="3"/>
    <n v="6"/>
    <n v="2030"/>
    <n v="1"/>
    <n v="0"/>
    <n v="0.79"/>
    <n v="0.79"/>
    <n v="0.79"/>
    <n v="26.279999999999998"/>
  </r>
  <r>
    <x v="34"/>
    <n v="4"/>
    <n v="6"/>
    <n v="2030"/>
    <n v="2"/>
    <n v="0"/>
    <n v="0.78"/>
    <n v="0.78"/>
    <n v="0.78"/>
    <n v="27.06"/>
  </r>
  <r>
    <x v="35"/>
    <n v="5"/>
    <n v="6"/>
    <n v="2030"/>
    <n v="3"/>
    <n v="0"/>
    <n v="0.77"/>
    <n v="0.77"/>
    <n v="0.77"/>
    <n v="27.83"/>
  </r>
  <r>
    <x v="36"/>
    <n v="6"/>
    <n v="6"/>
    <n v="2030"/>
    <n v="4"/>
    <n v="0"/>
    <n v="0.76"/>
    <n v="0.76"/>
    <n v="0.76"/>
    <n v="28.59"/>
  </r>
  <r>
    <x v="37"/>
    <n v="7"/>
    <n v="6"/>
    <n v="2030"/>
    <n v="5"/>
    <n v="0"/>
    <n v="0.75"/>
    <n v="0.75"/>
    <n v="0.75"/>
    <n v="29.34"/>
  </r>
  <r>
    <x v="38"/>
    <n v="8"/>
    <n v="6"/>
    <n v="2030"/>
    <n v="6"/>
    <n v="0"/>
    <n v="0.74"/>
    <n v="0.74"/>
    <n v="0.74"/>
    <n v="30.08"/>
  </r>
  <r>
    <x v="39"/>
    <n v="9"/>
    <n v="6"/>
    <n v="2030"/>
    <n v="7"/>
    <n v="0"/>
    <n v="0.73"/>
    <n v="0.73"/>
    <n v="0"/>
    <n v="30.08"/>
  </r>
  <r>
    <x v="40"/>
    <n v="10"/>
    <n v="6"/>
    <n v="2030"/>
    <n v="1"/>
    <n v="0"/>
    <n v="0.72"/>
    <n v="0.72"/>
    <n v="0.72"/>
    <n v="30.799999999999997"/>
  </r>
  <r>
    <x v="41"/>
    <n v="11"/>
    <n v="6"/>
    <n v="2030"/>
    <n v="2"/>
    <n v="0"/>
    <n v="0.71"/>
    <n v="0.71"/>
    <n v="0.71"/>
    <n v="31.509999999999998"/>
  </r>
  <r>
    <x v="42"/>
    <n v="12"/>
    <n v="6"/>
    <n v="2030"/>
    <n v="3"/>
    <n v="0"/>
    <n v="0.7"/>
    <n v="0.7"/>
    <n v="0.7"/>
    <n v="32.21"/>
  </r>
  <r>
    <x v="43"/>
    <n v="13"/>
    <n v="6"/>
    <n v="2030"/>
    <n v="4"/>
    <n v="0"/>
    <n v="0.69000000000000006"/>
    <n v="0.69000000000000006"/>
    <n v="0.69000000000000006"/>
    <n v="32.9"/>
  </r>
  <r>
    <x v="44"/>
    <n v="14"/>
    <n v="6"/>
    <n v="2030"/>
    <n v="5"/>
    <n v="0"/>
    <n v="0.68"/>
    <n v="0.68"/>
    <n v="0.68"/>
    <n v="33.58"/>
  </r>
  <r>
    <x v="45"/>
    <n v="15"/>
    <n v="6"/>
    <n v="2030"/>
    <n v="6"/>
    <n v="0"/>
    <n v="0.67"/>
    <n v="0.67"/>
    <n v="0.67"/>
    <n v="34.25"/>
  </r>
  <r>
    <x v="46"/>
    <n v="16"/>
    <n v="6"/>
    <n v="2030"/>
    <n v="7"/>
    <n v="0"/>
    <n v="0.66"/>
    <n v="0.66"/>
    <n v="0"/>
    <n v="34.25"/>
  </r>
  <r>
    <x v="47"/>
    <n v="17"/>
    <n v="6"/>
    <n v="2030"/>
    <n v="1"/>
    <n v="0"/>
    <n v="0.65"/>
    <n v="0.65"/>
    <n v="0.65"/>
    <n v="34.9"/>
  </r>
  <r>
    <x v="48"/>
    <n v="18"/>
    <n v="6"/>
    <n v="2030"/>
    <n v="2"/>
    <n v="0"/>
    <n v="0.64"/>
    <n v="0.64"/>
    <n v="0.64"/>
    <n v="35.54"/>
  </r>
  <r>
    <x v="49"/>
    <n v="19"/>
    <n v="6"/>
    <n v="2030"/>
    <n v="3"/>
    <n v="0"/>
    <n v="0.63"/>
    <n v="0.63"/>
    <n v="0.63"/>
    <n v="36.17"/>
  </r>
  <r>
    <x v="50"/>
    <n v="20"/>
    <n v="6"/>
    <n v="2030"/>
    <n v="4"/>
    <n v="0"/>
    <n v="0.62"/>
    <n v="0.62"/>
    <n v="0.62"/>
    <n v="36.79"/>
  </r>
  <r>
    <x v="51"/>
    <n v="21"/>
    <n v="6"/>
    <n v="2030"/>
    <n v="5"/>
    <n v="0"/>
    <n v="0.61"/>
    <n v="0.61"/>
    <n v="0.61"/>
    <n v="37.4"/>
  </r>
  <r>
    <x v="52"/>
    <n v="22"/>
    <n v="6"/>
    <n v="2030"/>
    <n v="6"/>
    <n v="0"/>
    <n v="0.6"/>
    <n v="0.6"/>
    <n v="0.6"/>
    <n v="38"/>
  </r>
  <r>
    <x v="53"/>
    <n v="23"/>
    <n v="6"/>
    <n v="2030"/>
    <n v="7"/>
    <n v="0"/>
    <n v="0.59"/>
    <n v="0.59"/>
    <n v="0"/>
    <n v="38"/>
  </r>
  <r>
    <x v="54"/>
    <n v="24"/>
    <n v="6"/>
    <n v="2030"/>
    <n v="1"/>
    <n v="0"/>
    <n v="0.57999999999999996"/>
    <n v="0.57999999999999996"/>
    <n v="0.57999999999999996"/>
    <n v="38.58"/>
  </r>
  <r>
    <x v="55"/>
    <n v="25"/>
    <n v="6"/>
    <n v="2030"/>
    <n v="2"/>
    <n v="0"/>
    <n v="0.57000000000000006"/>
    <n v="0.57000000000000006"/>
    <n v="0.57000000000000006"/>
    <n v="39.15"/>
  </r>
  <r>
    <x v="56"/>
    <n v="26"/>
    <n v="6"/>
    <n v="2030"/>
    <n v="3"/>
    <n v="0"/>
    <n v="0.56000000000000005"/>
    <n v="0.56000000000000005"/>
    <n v="0.56000000000000005"/>
    <n v="39.71"/>
  </r>
  <r>
    <x v="57"/>
    <n v="27"/>
    <n v="6"/>
    <n v="2030"/>
    <n v="4"/>
    <n v="0"/>
    <n v="0.55000000000000004"/>
    <n v="0.55000000000000004"/>
    <n v="0.55000000000000004"/>
    <n v="40.26"/>
  </r>
  <r>
    <x v="58"/>
    <n v="28"/>
    <n v="6"/>
    <n v="2030"/>
    <n v="5"/>
    <n v="0"/>
    <n v="0.54"/>
    <n v="0.54"/>
    <n v="0.54"/>
    <n v="40.799999999999997"/>
  </r>
  <r>
    <x v="59"/>
    <n v="29"/>
    <n v="6"/>
    <n v="2030"/>
    <n v="6"/>
    <n v="0"/>
    <n v="0.53"/>
    <n v="0.53"/>
    <n v="0.53"/>
    <n v="41.33"/>
  </r>
  <r>
    <x v="60"/>
    <n v="30"/>
    <n v="6"/>
    <n v="2030"/>
    <n v="7"/>
    <n v="0"/>
    <n v="0.52"/>
    <n v="0.52"/>
    <n v="0"/>
    <n v="41.33"/>
  </r>
  <r>
    <x v="61"/>
    <n v="1"/>
    <n v="7"/>
    <n v="2030"/>
    <n v="1"/>
    <n v="1"/>
    <n v="0.51"/>
    <n v="0.58650000000000002"/>
    <n v="0"/>
    <n v="41.33"/>
  </r>
  <r>
    <x v="62"/>
    <n v="2"/>
    <n v="7"/>
    <n v="2030"/>
    <n v="2"/>
    <n v="0"/>
    <n v="0.5"/>
    <n v="0.5"/>
    <n v="0.5"/>
    <n v="41.83"/>
  </r>
  <r>
    <x v="63"/>
    <n v="3"/>
    <n v="7"/>
    <n v="2030"/>
    <n v="3"/>
    <n v="0"/>
    <n v="0.49"/>
    <n v="0.49"/>
    <n v="0.49"/>
    <n v="42.32"/>
  </r>
  <r>
    <x v="64"/>
    <n v="4"/>
    <n v="7"/>
    <n v="2030"/>
    <n v="4"/>
    <n v="0"/>
    <n v="0.49"/>
    <n v="0.49"/>
    <n v="0.49"/>
    <n v="42.81"/>
  </r>
  <r>
    <x v="65"/>
    <n v="5"/>
    <n v="7"/>
    <n v="2030"/>
    <n v="5"/>
    <n v="0"/>
    <n v="0.49"/>
    <n v="0.49"/>
    <n v="0.49"/>
    <n v="43.300000000000004"/>
  </r>
  <r>
    <x v="66"/>
    <n v="6"/>
    <n v="7"/>
    <n v="2030"/>
    <n v="6"/>
    <n v="0"/>
    <n v="0.49"/>
    <n v="0.49"/>
    <n v="0.49"/>
    <n v="43.790000000000006"/>
  </r>
  <r>
    <x v="67"/>
    <n v="7"/>
    <n v="7"/>
    <n v="2030"/>
    <n v="7"/>
    <n v="0"/>
    <n v="0.49"/>
    <n v="0.49"/>
    <n v="0"/>
    <n v="43.790000000000006"/>
  </r>
  <r>
    <x v="68"/>
    <n v="8"/>
    <n v="7"/>
    <n v="2030"/>
    <n v="1"/>
    <n v="0"/>
    <n v="0.49"/>
    <n v="0.49"/>
    <n v="0.49"/>
    <n v="44.280000000000008"/>
  </r>
  <r>
    <x v="69"/>
    <n v="9"/>
    <n v="7"/>
    <n v="2030"/>
    <n v="2"/>
    <n v="0"/>
    <n v="0.49"/>
    <n v="0.49"/>
    <n v="0.49"/>
    <n v="44.77000000000001"/>
  </r>
  <r>
    <x v="70"/>
    <n v="10"/>
    <n v="7"/>
    <n v="2030"/>
    <n v="3"/>
    <n v="0"/>
    <n v="0.49"/>
    <n v="0.49"/>
    <n v="0.49"/>
    <n v="45.260000000000012"/>
  </r>
  <r>
    <x v="71"/>
    <n v="11"/>
    <n v="7"/>
    <n v="2030"/>
    <n v="4"/>
    <n v="0"/>
    <n v="0.49"/>
    <n v="0.49"/>
    <n v="0.49"/>
    <n v="45.750000000000014"/>
  </r>
  <r>
    <x v="72"/>
    <n v="12"/>
    <n v="7"/>
    <n v="2030"/>
    <n v="5"/>
    <n v="0"/>
    <n v="0.49"/>
    <n v="0.49"/>
    <n v="0.49"/>
    <n v="46.240000000000016"/>
  </r>
  <r>
    <x v="73"/>
    <n v="13"/>
    <n v="7"/>
    <n v="2030"/>
    <n v="6"/>
    <n v="0"/>
    <n v="0.49"/>
    <n v="0.49"/>
    <n v="0.49"/>
    <n v="46.730000000000018"/>
  </r>
  <r>
    <x v="74"/>
    <n v="14"/>
    <n v="7"/>
    <n v="2030"/>
    <n v="7"/>
    <n v="0"/>
    <n v="0.49"/>
    <n v="0.49"/>
    <n v="0"/>
    <n v="46.730000000000018"/>
  </r>
  <r>
    <x v="75"/>
    <n v="15"/>
    <n v="7"/>
    <n v="2030"/>
    <n v="1"/>
    <n v="0"/>
    <n v="0.49"/>
    <n v="0.49"/>
    <n v="0.49"/>
    <n v="47.22000000000002"/>
  </r>
  <r>
    <x v="76"/>
    <n v="16"/>
    <n v="7"/>
    <n v="2030"/>
    <n v="2"/>
    <n v="0"/>
    <n v="0.49"/>
    <n v="0.49"/>
    <n v="0.49"/>
    <n v="47.710000000000022"/>
  </r>
  <r>
    <x v="77"/>
    <n v="17"/>
    <n v="7"/>
    <n v="2030"/>
    <n v="3"/>
    <n v="0"/>
    <n v="0.49"/>
    <n v="0.49"/>
    <n v="0.49"/>
    <n v="48.200000000000024"/>
  </r>
  <r>
    <x v="78"/>
    <n v="18"/>
    <n v="7"/>
    <n v="2030"/>
    <n v="4"/>
    <n v="0"/>
    <n v="0.49"/>
    <n v="0.49"/>
    <n v="0.49"/>
    <n v="48.690000000000026"/>
  </r>
  <r>
    <x v="79"/>
    <n v="19"/>
    <n v="7"/>
    <n v="2030"/>
    <n v="5"/>
    <n v="0"/>
    <n v="0.49"/>
    <n v="0.49"/>
    <n v="0.49"/>
    <n v="49.180000000000028"/>
  </r>
  <r>
    <x v="80"/>
    <n v="20"/>
    <n v="7"/>
    <n v="2030"/>
    <n v="6"/>
    <n v="0"/>
    <n v="0.49"/>
    <n v="0.49"/>
    <n v="0.49"/>
    <n v="49.67000000000003"/>
  </r>
  <r>
    <x v="81"/>
    <n v="21"/>
    <n v="7"/>
    <n v="2030"/>
    <n v="7"/>
    <n v="0"/>
    <n v="0.49"/>
    <n v="0.49"/>
    <n v="0"/>
    <n v="49.67000000000003"/>
  </r>
  <r>
    <x v="82"/>
    <n v="22"/>
    <n v="7"/>
    <n v="2030"/>
    <n v="1"/>
    <n v="0"/>
    <n v="0.49"/>
    <n v="0.49"/>
    <n v="0.49"/>
    <n v="50.160000000000032"/>
  </r>
  <r>
    <x v="83"/>
    <n v="23"/>
    <n v="7"/>
    <n v="2030"/>
    <n v="2"/>
    <n v="0"/>
    <n v="0.49"/>
    <n v="0.49"/>
    <n v="0.49"/>
    <n v="50.650000000000034"/>
  </r>
  <r>
    <x v="84"/>
    <n v="24"/>
    <n v="7"/>
    <n v="2030"/>
    <n v="3"/>
    <n v="0"/>
    <n v="0.49"/>
    <n v="0.49"/>
    <n v="0.49"/>
    <n v="51.140000000000036"/>
  </r>
  <r>
    <x v="85"/>
    <n v="25"/>
    <n v="7"/>
    <n v="2030"/>
    <n v="4"/>
    <n v="0"/>
    <n v="0.49"/>
    <n v="0.49"/>
    <n v="0.49"/>
    <n v="51.630000000000038"/>
  </r>
  <r>
    <x v="86"/>
    <n v="26"/>
    <n v="7"/>
    <n v="2030"/>
    <n v="5"/>
    <n v="0"/>
    <n v="0.49"/>
    <n v="0.49"/>
    <n v="0.49"/>
    <n v="52.12000000000004"/>
  </r>
  <r>
    <x v="87"/>
    <n v="27"/>
    <n v="7"/>
    <n v="2030"/>
    <n v="6"/>
    <n v="0"/>
    <n v="0.49"/>
    <n v="0.49"/>
    <n v="0.49"/>
    <n v="52.610000000000042"/>
  </r>
  <r>
    <x v="88"/>
    <n v="28"/>
    <n v="7"/>
    <n v="2030"/>
    <n v="7"/>
    <n v="0"/>
    <n v="0.49"/>
    <n v="0.49"/>
    <n v="0"/>
    <n v="52.610000000000042"/>
  </r>
  <r>
    <x v="89"/>
    <n v="29"/>
    <n v="7"/>
    <n v="2030"/>
    <n v="1"/>
    <n v="0"/>
    <n v="0.49"/>
    <n v="0.49"/>
    <n v="0.49"/>
    <n v="53.100000000000044"/>
  </r>
  <r>
    <x v="90"/>
    <n v="30"/>
    <n v="7"/>
    <n v="2030"/>
    <n v="2"/>
    <n v="0"/>
    <n v="0.49"/>
    <n v="0.49"/>
    <n v="0.49"/>
    <n v="53.590000000000046"/>
  </r>
  <r>
    <x v="91"/>
    <n v="31"/>
    <n v="7"/>
    <n v="2030"/>
    <n v="3"/>
    <n v="0"/>
    <n v="0.49"/>
    <n v="0.49"/>
    <n v="0.49"/>
    <n v="54.080000000000048"/>
  </r>
  <r>
    <x v="92"/>
    <n v="1"/>
    <n v="8"/>
    <n v="2030"/>
    <n v="4"/>
    <n v="1"/>
    <n v="0.49"/>
    <n v="0.5635"/>
    <n v="0"/>
    <n v="54.080000000000048"/>
  </r>
  <r>
    <x v="93"/>
    <n v="2"/>
    <n v="8"/>
    <n v="2030"/>
    <n v="5"/>
    <n v="0"/>
    <n v="0.49"/>
    <n v="0.49"/>
    <n v="0.49"/>
    <n v="54.57000000000005"/>
  </r>
  <r>
    <x v="94"/>
    <n v="3"/>
    <n v="8"/>
    <n v="2030"/>
    <n v="6"/>
    <n v="0"/>
    <n v="0.49"/>
    <n v="0.49"/>
    <n v="0.49"/>
    <n v="55.060000000000052"/>
  </r>
  <r>
    <x v="95"/>
    <n v="4"/>
    <n v="8"/>
    <n v="2030"/>
    <n v="7"/>
    <n v="0"/>
    <n v="0.49"/>
    <n v="0.49"/>
    <n v="0"/>
    <n v="55.060000000000052"/>
  </r>
  <r>
    <x v="96"/>
    <n v="5"/>
    <n v="8"/>
    <n v="2030"/>
    <n v="1"/>
    <n v="0"/>
    <n v="0.49"/>
    <n v="0.49"/>
    <n v="0.49"/>
    <n v="55.550000000000054"/>
  </r>
  <r>
    <x v="97"/>
    <n v="6"/>
    <n v="8"/>
    <n v="2030"/>
    <n v="2"/>
    <n v="0"/>
    <n v="0.49"/>
    <n v="0.49"/>
    <n v="0.49"/>
    <n v="56.040000000000056"/>
  </r>
  <r>
    <x v="98"/>
    <n v="7"/>
    <n v="8"/>
    <n v="2030"/>
    <n v="3"/>
    <n v="0"/>
    <n v="0.49"/>
    <n v="0.49"/>
    <n v="0.49"/>
    <n v="56.530000000000058"/>
  </r>
  <r>
    <x v="99"/>
    <n v="8"/>
    <n v="8"/>
    <n v="2030"/>
    <n v="4"/>
    <n v="0"/>
    <n v="0.49"/>
    <n v="0.49"/>
    <n v="0.49"/>
    <n v="57.02000000000006"/>
  </r>
  <r>
    <x v="100"/>
    <n v="9"/>
    <n v="8"/>
    <n v="2030"/>
    <n v="5"/>
    <n v="0"/>
    <n v="0.49"/>
    <n v="0.49"/>
    <n v="0.49"/>
    <n v="57.510000000000062"/>
  </r>
  <r>
    <x v="101"/>
    <n v="10"/>
    <n v="8"/>
    <n v="2030"/>
    <n v="6"/>
    <n v="0"/>
    <n v="0.49"/>
    <n v="0.49"/>
    <n v="0.49"/>
    <n v="58.000000000000064"/>
  </r>
  <r>
    <x v="102"/>
    <n v="11"/>
    <n v="8"/>
    <n v="2030"/>
    <n v="7"/>
    <n v="0"/>
    <n v="0.49"/>
    <n v="0.49"/>
    <n v="0"/>
    <n v="58.000000000000064"/>
  </r>
  <r>
    <x v="103"/>
    <n v="12"/>
    <n v="8"/>
    <n v="2030"/>
    <n v="1"/>
    <n v="0"/>
    <n v="0.49"/>
    <n v="0.49"/>
    <n v="0.49"/>
    <n v="58.490000000000066"/>
  </r>
  <r>
    <x v="104"/>
    <n v="13"/>
    <n v="8"/>
    <n v="2030"/>
    <n v="2"/>
    <n v="0"/>
    <n v="0.49"/>
    <n v="0.49"/>
    <n v="0.49"/>
    <n v="58.980000000000068"/>
  </r>
  <r>
    <x v="105"/>
    <n v="14"/>
    <n v="8"/>
    <n v="2030"/>
    <n v="3"/>
    <n v="0"/>
    <n v="0.49"/>
    <n v="0.49"/>
    <n v="0.49"/>
    <n v="59.47000000000007"/>
  </r>
  <r>
    <x v="106"/>
    <n v="15"/>
    <n v="8"/>
    <n v="2030"/>
    <n v="4"/>
    <n v="0"/>
    <n v="0.49"/>
    <n v="0.49"/>
    <n v="0.49"/>
    <n v="59.960000000000072"/>
  </r>
  <r>
    <x v="107"/>
    <n v="16"/>
    <n v="8"/>
    <n v="2030"/>
    <n v="5"/>
    <n v="0"/>
    <n v="0.49"/>
    <n v="0.49"/>
    <n v="0.49"/>
    <n v="60.450000000000074"/>
  </r>
  <r>
    <x v="108"/>
    <n v="17"/>
    <n v="8"/>
    <n v="2030"/>
    <n v="6"/>
    <n v="0"/>
    <n v="0.49"/>
    <n v="0.49"/>
    <n v="0.49"/>
    <n v="60.940000000000076"/>
  </r>
  <r>
    <x v="109"/>
    <n v="18"/>
    <n v="8"/>
    <n v="2030"/>
    <n v="7"/>
    <n v="0"/>
    <n v="0.49"/>
    <n v="0.49"/>
    <n v="0"/>
    <n v="60.940000000000076"/>
  </r>
  <r>
    <x v="110"/>
    <n v="19"/>
    <n v="8"/>
    <n v="2030"/>
    <n v="1"/>
    <n v="0"/>
    <n v="0.49"/>
    <n v="0.49"/>
    <n v="0.49"/>
    <n v="61.430000000000078"/>
  </r>
  <r>
    <x v="111"/>
    <n v="20"/>
    <n v="8"/>
    <n v="2030"/>
    <n v="2"/>
    <n v="0"/>
    <n v="0.49"/>
    <n v="0.49"/>
    <n v="0.49"/>
    <n v="61.92000000000008"/>
  </r>
  <r>
    <x v="112"/>
    <n v="21"/>
    <n v="8"/>
    <n v="2030"/>
    <n v="3"/>
    <n v="0"/>
    <n v="0.49"/>
    <n v="0.49"/>
    <n v="0.49"/>
    <n v="62.410000000000082"/>
  </r>
  <r>
    <x v="113"/>
    <n v="22"/>
    <n v="8"/>
    <n v="2030"/>
    <n v="4"/>
    <n v="0"/>
    <n v="0.49"/>
    <n v="0.49"/>
    <n v="0.49"/>
    <n v="62.900000000000084"/>
  </r>
  <r>
    <x v="114"/>
    <n v="23"/>
    <n v="8"/>
    <n v="2030"/>
    <n v="5"/>
    <n v="0"/>
    <n v="0.49"/>
    <n v="0.49"/>
    <n v="0.49"/>
    <n v="63.390000000000086"/>
  </r>
  <r>
    <x v="115"/>
    <n v="24"/>
    <n v="8"/>
    <n v="2030"/>
    <n v="6"/>
    <n v="0"/>
    <n v="0.49"/>
    <n v="0.49"/>
    <n v="0.49"/>
    <n v="63.880000000000088"/>
  </r>
  <r>
    <x v="116"/>
    <n v="25"/>
    <n v="8"/>
    <n v="2030"/>
    <n v="7"/>
    <n v="0"/>
    <n v="0.49"/>
    <n v="0.49"/>
    <n v="0"/>
    <n v="63.880000000000088"/>
  </r>
  <r>
    <x v="117"/>
    <n v="26"/>
    <n v="8"/>
    <n v="2030"/>
    <n v="1"/>
    <n v="0"/>
    <n v="0.49"/>
    <n v="0.49"/>
    <n v="0.49"/>
    <n v="64.37000000000009"/>
  </r>
  <r>
    <x v="118"/>
    <n v="27"/>
    <n v="8"/>
    <n v="2030"/>
    <n v="2"/>
    <n v="0"/>
    <n v="0.49"/>
    <n v="0.49"/>
    <n v="0.49"/>
    <n v="64.860000000000085"/>
  </r>
  <r>
    <x v="119"/>
    <n v="28"/>
    <n v="8"/>
    <n v="2030"/>
    <n v="3"/>
    <n v="0"/>
    <n v="0.49"/>
    <n v="0.49"/>
    <n v="0.49"/>
    <n v="65.35000000000008"/>
  </r>
  <r>
    <x v="120"/>
    <n v="29"/>
    <n v="8"/>
    <n v="2030"/>
    <n v="4"/>
    <n v="0"/>
    <n v="0.49"/>
    <n v="0.49"/>
    <n v="0.49"/>
    <n v="65.840000000000074"/>
  </r>
  <r>
    <x v="121"/>
    <n v="30"/>
    <n v="8"/>
    <n v="2030"/>
    <n v="5"/>
    <n v="0"/>
    <n v="0.49"/>
    <n v="0.49"/>
    <n v="0.49"/>
    <n v="66.330000000000069"/>
  </r>
  <r>
    <x v="122"/>
    <n v="31"/>
    <n v="8"/>
    <n v="2030"/>
    <n v="6"/>
    <n v="0"/>
    <n v="0.49"/>
    <n v="0.49"/>
    <n v="0.49"/>
    <n v="66.820000000000064"/>
  </r>
  <r>
    <x v="123"/>
    <n v="1"/>
    <n v="9"/>
    <n v="2030"/>
    <n v="7"/>
    <n v="1"/>
    <n v="0.49"/>
    <n v="0.5635"/>
    <n v="0"/>
    <n v="66.820000000000064"/>
  </r>
  <r>
    <x v="124"/>
    <n v="2"/>
    <n v="9"/>
    <n v="2030"/>
    <n v="1"/>
    <n v="0"/>
    <n v="0.49"/>
    <n v="0.49"/>
    <n v="0.49"/>
    <n v="67.310000000000059"/>
  </r>
  <r>
    <x v="125"/>
    <n v="3"/>
    <n v="9"/>
    <n v="2030"/>
    <n v="2"/>
    <n v="0"/>
    <n v="0.49"/>
    <n v="0.49"/>
    <n v="0.49"/>
    <n v="67.800000000000054"/>
  </r>
  <r>
    <x v="126"/>
    <n v="4"/>
    <n v="9"/>
    <n v="2030"/>
    <n v="3"/>
    <n v="0"/>
    <n v="0.49"/>
    <n v="0.49"/>
    <n v="0.49"/>
    <n v="68.290000000000049"/>
  </r>
  <r>
    <x v="127"/>
    <n v="5"/>
    <n v="9"/>
    <n v="2030"/>
    <n v="4"/>
    <n v="0"/>
    <n v="0.49"/>
    <n v="0.49"/>
    <n v="0.49"/>
    <n v="68.780000000000044"/>
  </r>
  <r>
    <x v="128"/>
    <n v="6"/>
    <n v="9"/>
    <n v="2030"/>
    <n v="5"/>
    <n v="0"/>
    <n v="0.49"/>
    <n v="0.49"/>
    <n v="0.49"/>
    <n v="69.270000000000039"/>
  </r>
  <r>
    <x v="129"/>
    <n v="7"/>
    <n v="9"/>
    <n v="2030"/>
    <n v="6"/>
    <n v="0"/>
    <n v="0.49"/>
    <n v="0.49"/>
    <n v="0.49"/>
    <n v="69.760000000000034"/>
  </r>
  <r>
    <x v="130"/>
    <n v="8"/>
    <n v="9"/>
    <n v="2030"/>
    <n v="7"/>
    <n v="0"/>
    <n v="0.49"/>
    <n v="0.49"/>
    <n v="0"/>
    <n v="69.760000000000034"/>
  </r>
  <r>
    <x v="131"/>
    <n v="9"/>
    <n v="9"/>
    <n v="2030"/>
    <n v="1"/>
    <n v="0"/>
    <n v="0.49"/>
    <n v="0.49"/>
    <n v="0.49"/>
    <n v="70.250000000000028"/>
  </r>
  <r>
    <x v="132"/>
    <n v="10"/>
    <n v="9"/>
    <n v="2030"/>
    <n v="2"/>
    <n v="0"/>
    <n v="0.49"/>
    <n v="0.49"/>
    <n v="0.49"/>
    <n v="70.740000000000023"/>
  </r>
  <r>
    <x v="133"/>
    <n v="11"/>
    <n v="9"/>
    <n v="2030"/>
    <n v="3"/>
    <n v="0"/>
    <n v="0.49"/>
    <n v="0.49"/>
    <n v="0.49"/>
    <n v="71.230000000000018"/>
  </r>
  <r>
    <x v="134"/>
    <n v="12"/>
    <n v="9"/>
    <n v="2030"/>
    <n v="4"/>
    <n v="0"/>
    <n v="0.49"/>
    <n v="0.49"/>
    <n v="0.49"/>
    <n v="71.720000000000013"/>
  </r>
  <r>
    <x v="135"/>
    <n v="13"/>
    <n v="9"/>
    <n v="2030"/>
    <n v="5"/>
    <n v="0"/>
    <n v="0.49"/>
    <n v="0.49"/>
    <n v="0.49"/>
    <n v="72.210000000000008"/>
  </r>
  <r>
    <x v="136"/>
    <n v="14"/>
    <n v="9"/>
    <n v="2030"/>
    <n v="6"/>
    <n v="0"/>
    <n v="0.49"/>
    <n v="0.49"/>
    <n v="0.49"/>
    <n v="72.7"/>
  </r>
  <r>
    <x v="137"/>
    <n v="15"/>
    <n v="9"/>
    <n v="2030"/>
    <n v="7"/>
    <n v="0"/>
    <n v="0.49"/>
    <n v="0.49"/>
    <n v="0"/>
    <n v="72.7"/>
  </r>
  <r>
    <x v="138"/>
    <n v="16"/>
    <n v="9"/>
    <n v="2030"/>
    <n v="1"/>
    <n v="0"/>
    <n v="0.49"/>
    <n v="0.49"/>
    <n v="0.49"/>
    <n v="73.19"/>
  </r>
  <r>
    <x v="139"/>
    <n v="17"/>
    <n v="9"/>
    <n v="2030"/>
    <n v="2"/>
    <n v="0"/>
    <n v="0.49"/>
    <n v="0.49"/>
    <n v="0.49"/>
    <n v="73.679999999999993"/>
  </r>
  <r>
    <x v="140"/>
    <n v="18"/>
    <n v="9"/>
    <n v="2030"/>
    <n v="3"/>
    <n v="0"/>
    <n v="0.49"/>
    <n v="0.49"/>
    <n v="0.49"/>
    <n v="74.169999999999987"/>
  </r>
  <r>
    <x v="141"/>
    <n v="19"/>
    <n v="9"/>
    <n v="2030"/>
    <n v="4"/>
    <n v="0"/>
    <n v="0.49"/>
    <n v="0.49"/>
    <n v="0.49"/>
    <n v="74.659999999999982"/>
  </r>
  <r>
    <x v="142"/>
    <n v="20"/>
    <n v="9"/>
    <n v="2030"/>
    <n v="5"/>
    <n v="0"/>
    <n v="0.49"/>
    <n v="0.49"/>
    <n v="0.49"/>
    <n v="75.149999999999977"/>
  </r>
  <r>
    <x v="143"/>
    <n v="21"/>
    <n v="9"/>
    <n v="2030"/>
    <n v="6"/>
    <n v="0"/>
    <n v="0.49"/>
    <n v="0.49"/>
    <n v="0.49"/>
    <n v="75.639999999999972"/>
  </r>
  <r>
    <x v="144"/>
    <n v="22"/>
    <n v="9"/>
    <n v="2030"/>
    <n v="7"/>
    <n v="0"/>
    <n v="0.49"/>
    <n v="0.49"/>
    <n v="0"/>
    <n v="75.639999999999972"/>
  </r>
  <r>
    <x v="145"/>
    <n v="23"/>
    <n v="9"/>
    <n v="2030"/>
    <n v="1"/>
    <n v="0"/>
    <n v="0.49"/>
    <n v="0.49"/>
    <n v="0.49"/>
    <n v="76.129999999999967"/>
  </r>
  <r>
    <x v="146"/>
    <n v="24"/>
    <n v="9"/>
    <n v="2030"/>
    <n v="2"/>
    <n v="0"/>
    <n v="0.49"/>
    <n v="0.49"/>
    <n v="0.49"/>
    <n v="76.619999999999962"/>
  </r>
  <r>
    <x v="147"/>
    <n v="25"/>
    <n v="9"/>
    <n v="2030"/>
    <n v="3"/>
    <n v="0"/>
    <n v="0.49"/>
    <n v="0.49"/>
    <n v="0.49"/>
    <n v="77.109999999999957"/>
  </r>
  <r>
    <x v="148"/>
    <n v="26"/>
    <n v="9"/>
    <n v="2030"/>
    <n v="4"/>
    <n v="0"/>
    <n v="0.49"/>
    <n v="0.49"/>
    <n v="0.49"/>
    <n v="77.599999999999952"/>
  </r>
  <r>
    <x v="149"/>
    <n v="27"/>
    <n v="9"/>
    <n v="2030"/>
    <n v="5"/>
    <n v="0"/>
    <n v="0.49"/>
    <n v="0.49"/>
    <n v="0.49"/>
    <n v="78.089999999999947"/>
  </r>
  <r>
    <x v="150"/>
    <n v="28"/>
    <n v="9"/>
    <n v="2030"/>
    <n v="6"/>
    <n v="0"/>
    <n v="0.49"/>
    <n v="0.49"/>
    <n v="0.49"/>
    <n v="78.579999999999941"/>
  </r>
  <r>
    <x v="151"/>
    <n v="29"/>
    <n v="9"/>
    <n v="2030"/>
    <n v="7"/>
    <n v="0"/>
    <n v="0.49"/>
    <n v="0.49"/>
    <n v="0"/>
    <n v="78.579999999999941"/>
  </r>
  <r>
    <x v="152"/>
    <n v="30"/>
    <n v="9"/>
    <n v="2030"/>
    <n v="1"/>
    <n v="0"/>
    <n v="0.49"/>
    <n v="0.49"/>
    <n v="0.49"/>
    <n v="79.069999999999936"/>
  </r>
  <r>
    <x v="153"/>
    <n v="1"/>
    <n v="10"/>
    <n v="2030"/>
    <n v="2"/>
    <n v="1"/>
    <n v="0.49"/>
    <n v="0.5635"/>
    <n v="0"/>
    <n v="79.069999999999936"/>
  </r>
  <r>
    <x v="154"/>
    <n v="2"/>
    <n v="10"/>
    <n v="2030"/>
    <n v="3"/>
    <n v="0"/>
    <n v="0.49"/>
    <n v="0.49"/>
    <n v="0.49"/>
    <n v="79.559999999999931"/>
  </r>
  <r>
    <x v="155"/>
    <n v="3"/>
    <n v="10"/>
    <n v="2030"/>
    <n v="4"/>
    <n v="0"/>
    <n v="0.49"/>
    <n v="0.49"/>
    <n v="0.49"/>
    <n v="80.049999999999926"/>
  </r>
  <r>
    <x v="156"/>
    <n v="4"/>
    <n v="10"/>
    <n v="2030"/>
    <n v="5"/>
    <n v="0"/>
    <n v="0.49"/>
    <n v="0.49"/>
    <n v="0.49"/>
    <n v="80.539999999999921"/>
  </r>
  <r>
    <x v="157"/>
    <n v="5"/>
    <n v="10"/>
    <n v="2030"/>
    <n v="6"/>
    <n v="0"/>
    <n v="0.49"/>
    <n v="0.49"/>
    <n v="0.49"/>
    <n v="81.029999999999916"/>
  </r>
  <r>
    <x v="158"/>
    <n v="6"/>
    <n v="10"/>
    <n v="2030"/>
    <n v="7"/>
    <n v="0"/>
    <n v="0.49"/>
    <n v="0.49"/>
    <n v="0"/>
    <n v="81.029999999999916"/>
  </r>
  <r>
    <x v="159"/>
    <n v="7"/>
    <n v="10"/>
    <n v="2030"/>
    <n v="1"/>
    <n v="0"/>
    <n v="0.49"/>
    <n v="0.49"/>
    <n v="0.49"/>
    <n v="81.519999999999911"/>
  </r>
  <r>
    <x v="160"/>
    <n v="8"/>
    <n v="10"/>
    <n v="2030"/>
    <n v="2"/>
    <n v="0"/>
    <n v="0.49"/>
    <n v="0.49"/>
    <n v="0.49"/>
    <n v="82.009999999999906"/>
  </r>
  <r>
    <x v="161"/>
    <n v="9"/>
    <n v="10"/>
    <n v="2030"/>
    <n v="3"/>
    <n v="0"/>
    <n v="0.49"/>
    <n v="0.49"/>
    <n v="0.49"/>
    <n v="82.499999999999901"/>
  </r>
  <r>
    <x v="162"/>
    <n v="10"/>
    <n v="10"/>
    <n v="2030"/>
    <n v="4"/>
    <n v="0"/>
    <n v="0.49"/>
    <n v="0.49"/>
    <n v="0.49"/>
    <n v="82.989999999999895"/>
  </r>
  <r>
    <x v="163"/>
    <n v="11"/>
    <n v="10"/>
    <n v="2030"/>
    <n v="5"/>
    <n v="0"/>
    <n v="0.49"/>
    <n v="0.49"/>
    <n v="0.49"/>
    <n v="83.47999999999989"/>
  </r>
  <r>
    <x v="164"/>
    <n v="12"/>
    <n v="10"/>
    <n v="2030"/>
    <n v="6"/>
    <n v="0"/>
    <n v="0.49"/>
    <n v="0.49"/>
    <n v="0.49"/>
    <n v="83.969999999999885"/>
  </r>
  <r>
    <x v="165"/>
    <n v="13"/>
    <n v="10"/>
    <n v="2030"/>
    <n v="7"/>
    <n v="0"/>
    <n v="0.49"/>
    <n v="0.49"/>
    <n v="0"/>
    <n v="83.969999999999885"/>
  </r>
  <r>
    <x v="166"/>
    <n v="14"/>
    <n v="10"/>
    <n v="2030"/>
    <n v="1"/>
    <n v="0"/>
    <n v="0.49"/>
    <n v="0.49"/>
    <n v="0.49"/>
    <n v="84.45999999999988"/>
  </r>
  <r>
    <x v="167"/>
    <n v="15"/>
    <n v="10"/>
    <n v="2030"/>
    <n v="2"/>
    <n v="0"/>
    <n v="0.49"/>
    <n v="0.49"/>
    <n v="0.49"/>
    <n v="84.949999999999875"/>
  </r>
  <r>
    <x v="168"/>
    <n v="16"/>
    <n v="10"/>
    <n v="2030"/>
    <n v="3"/>
    <n v="0"/>
    <n v="0.49"/>
    <n v="0.49"/>
    <n v="0.49"/>
    <n v="85.43999999999987"/>
  </r>
  <r>
    <x v="169"/>
    <n v="17"/>
    <n v="10"/>
    <n v="2030"/>
    <n v="4"/>
    <n v="0"/>
    <n v="0.49"/>
    <n v="0.49"/>
    <n v="0.49"/>
    <n v="85.929999999999865"/>
  </r>
  <r>
    <x v="170"/>
    <n v="18"/>
    <n v="10"/>
    <n v="2030"/>
    <n v="5"/>
    <n v="0"/>
    <n v="0.49"/>
    <n v="0.49"/>
    <n v="0.49"/>
    <n v="86.41999999999986"/>
  </r>
  <r>
    <x v="171"/>
    <n v="19"/>
    <n v="10"/>
    <n v="2030"/>
    <n v="6"/>
    <n v="0"/>
    <n v="0.49"/>
    <n v="0.49"/>
    <n v="0.49"/>
    <n v="86.909999999999854"/>
  </r>
  <r>
    <x v="172"/>
    <n v="20"/>
    <n v="10"/>
    <n v="2030"/>
    <n v="7"/>
    <n v="0"/>
    <n v="0.49"/>
    <n v="0.49"/>
    <n v="0"/>
    <n v="86.909999999999854"/>
  </r>
  <r>
    <x v="173"/>
    <n v="21"/>
    <n v="10"/>
    <n v="2030"/>
    <n v="1"/>
    <n v="0"/>
    <n v="0.49"/>
    <n v="0.49"/>
    <n v="0.49"/>
    <n v="87.399999999999849"/>
  </r>
  <r>
    <x v="174"/>
    <n v="22"/>
    <n v="10"/>
    <n v="2030"/>
    <n v="2"/>
    <n v="0"/>
    <n v="0.49"/>
    <n v="0.49"/>
    <n v="0.49"/>
    <n v="87.889999999999844"/>
  </r>
  <r>
    <x v="175"/>
    <n v="23"/>
    <n v="10"/>
    <n v="2030"/>
    <n v="3"/>
    <n v="0"/>
    <n v="0.49"/>
    <n v="0.49"/>
    <n v="0.49"/>
    <n v="88.379999999999839"/>
  </r>
  <r>
    <x v="176"/>
    <n v="24"/>
    <n v="10"/>
    <n v="2030"/>
    <n v="4"/>
    <n v="0"/>
    <n v="0.49"/>
    <n v="0.49"/>
    <n v="0.49"/>
    <n v="88.869999999999834"/>
  </r>
  <r>
    <x v="177"/>
    <n v="25"/>
    <n v="10"/>
    <n v="2030"/>
    <n v="5"/>
    <n v="0"/>
    <n v="0.49"/>
    <n v="0.49"/>
    <n v="0.49"/>
    <n v="89.359999999999829"/>
  </r>
  <r>
    <x v="178"/>
    <n v="26"/>
    <n v="10"/>
    <n v="2030"/>
    <n v="6"/>
    <n v="0"/>
    <n v="0.49"/>
    <n v="0.49"/>
    <n v="0.49"/>
    <n v="89.849999999999824"/>
  </r>
  <r>
    <x v="179"/>
    <n v="27"/>
    <n v="10"/>
    <n v="2030"/>
    <n v="7"/>
    <n v="0"/>
    <n v="0.49"/>
    <n v="0.49"/>
    <n v="0"/>
    <n v="89.849999999999824"/>
  </r>
  <r>
    <x v="180"/>
    <n v="28"/>
    <n v="10"/>
    <n v="2030"/>
    <n v="1"/>
    <n v="0"/>
    <n v="0.49"/>
    <n v="0.49"/>
    <n v="0.49"/>
    <n v="90.339999999999819"/>
  </r>
  <r>
    <x v="181"/>
    <n v="29"/>
    <n v="10"/>
    <n v="2030"/>
    <n v="2"/>
    <n v="0"/>
    <n v="0.49"/>
    <n v="0.49"/>
    <n v="0.49"/>
    <n v="90.829999999999814"/>
  </r>
  <r>
    <x v="182"/>
    <n v="30"/>
    <n v="10"/>
    <n v="2030"/>
    <n v="3"/>
    <n v="0"/>
    <n v="0.49"/>
    <n v="0.49"/>
    <n v="0.49"/>
    <n v="91.319999999999808"/>
  </r>
  <r>
    <x v="183"/>
    <n v="31"/>
    <n v="10"/>
    <n v="2030"/>
    <n v="4"/>
    <n v="0"/>
    <n v="0.49"/>
    <n v="0.49"/>
    <n v="0.49"/>
    <n v="91.809999999999803"/>
  </r>
  <r>
    <x v="184"/>
    <n v="1"/>
    <n v="11"/>
    <n v="2030"/>
    <n v="5"/>
    <n v="1"/>
    <n v="0.49"/>
    <n v="0.5635"/>
    <n v="0"/>
    <n v="91.809999999999803"/>
  </r>
  <r>
    <x v="185"/>
    <n v="2"/>
    <n v="11"/>
    <n v="2030"/>
    <n v="6"/>
    <n v="0"/>
    <n v="0.49"/>
    <n v="0.49"/>
    <n v="0.49"/>
    <n v="92.299999999999798"/>
  </r>
  <r>
    <x v="186"/>
    <n v="3"/>
    <n v="11"/>
    <n v="2030"/>
    <n v="7"/>
    <n v="0"/>
    <n v="0.49"/>
    <n v="0.49"/>
    <n v="0"/>
    <n v="92.299999999999798"/>
  </r>
  <r>
    <x v="187"/>
    <n v="4"/>
    <n v="11"/>
    <n v="2030"/>
    <n v="1"/>
    <n v="0"/>
    <n v="0.49"/>
    <n v="0.49"/>
    <n v="0.49"/>
    <n v="92.789999999999793"/>
  </r>
  <r>
    <x v="188"/>
    <n v="5"/>
    <n v="11"/>
    <n v="2030"/>
    <n v="2"/>
    <n v="0"/>
    <n v="0.49"/>
    <n v="0.49"/>
    <n v="0.49"/>
    <n v="93.279999999999788"/>
  </r>
  <r>
    <x v="189"/>
    <n v="6"/>
    <n v="11"/>
    <n v="2030"/>
    <n v="3"/>
    <n v="0"/>
    <n v="0.49"/>
    <n v="0.49"/>
    <n v="0.49"/>
    <n v="93.769999999999783"/>
  </r>
  <r>
    <x v="190"/>
    <n v="7"/>
    <n v="11"/>
    <n v="2030"/>
    <n v="4"/>
    <n v="0"/>
    <n v="0.49"/>
    <n v="0.49"/>
    <n v="0.49"/>
    <n v="94.259999999999778"/>
  </r>
  <r>
    <x v="191"/>
    <n v="8"/>
    <n v="11"/>
    <n v="2030"/>
    <n v="5"/>
    <n v="0"/>
    <n v="0.49"/>
    <n v="0.49"/>
    <n v="0.49"/>
    <n v="94.749999999999773"/>
  </r>
  <r>
    <x v="192"/>
    <n v="9"/>
    <n v="11"/>
    <n v="2030"/>
    <n v="6"/>
    <n v="0"/>
    <n v="0.49"/>
    <n v="0.49"/>
    <n v="0.49"/>
    <n v="95.239999999999768"/>
  </r>
  <r>
    <x v="193"/>
    <n v="10"/>
    <n v="11"/>
    <n v="2030"/>
    <n v="7"/>
    <n v="0"/>
    <n v="0.49"/>
    <n v="0.49"/>
    <n v="0"/>
    <n v="95.239999999999768"/>
  </r>
  <r>
    <x v="194"/>
    <n v="11"/>
    <n v="11"/>
    <n v="2030"/>
    <n v="1"/>
    <n v="0"/>
    <n v="0.49"/>
    <n v="0.49"/>
    <n v="0.49"/>
    <n v="95.729999999999762"/>
  </r>
  <r>
    <x v="195"/>
    <n v="12"/>
    <n v="11"/>
    <n v="2030"/>
    <n v="2"/>
    <n v="0"/>
    <n v="0.49"/>
    <n v="0.49"/>
    <n v="0.49"/>
    <n v="96.219999999999757"/>
  </r>
  <r>
    <x v="196"/>
    <n v="13"/>
    <n v="11"/>
    <n v="2030"/>
    <n v="3"/>
    <n v="0"/>
    <n v="0.49"/>
    <n v="0.49"/>
    <n v="0.49"/>
    <n v="96.709999999999752"/>
  </r>
  <r>
    <x v="197"/>
    <n v="14"/>
    <n v="11"/>
    <n v="2030"/>
    <n v="4"/>
    <n v="0"/>
    <n v="0.49"/>
    <n v="0.49"/>
    <n v="0.49"/>
    <n v="97.199999999999747"/>
  </r>
  <r>
    <x v="198"/>
    <n v="15"/>
    <n v="11"/>
    <n v="2030"/>
    <n v="5"/>
    <n v="0"/>
    <n v="0.49"/>
    <n v="0.49"/>
    <n v="0.49"/>
    <n v="97.689999999999742"/>
  </r>
  <r>
    <x v="199"/>
    <n v="16"/>
    <n v="11"/>
    <n v="2030"/>
    <n v="6"/>
    <n v="0"/>
    <n v="0.49"/>
    <n v="0.49"/>
    <n v="0.49"/>
    <n v="98.179999999999737"/>
  </r>
  <r>
    <x v="200"/>
    <n v="17"/>
    <n v="11"/>
    <n v="2030"/>
    <n v="7"/>
    <n v="0"/>
    <n v="0.49"/>
    <n v="0.49"/>
    <n v="0"/>
    <n v="98.179999999999737"/>
  </r>
  <r>
    <x v="201"/>
    <n v="18"/>
    <n v="11"/>
    <n v="2030"/>
    <n v="1"/>
    <n v="0"/>
    <n v="0.49"/>
    <n v="0.49"/>
    <n v="0.49"/>
    <n v="98.669999999999732"/>
  </r>
  <r>
    <x v="202"/>
    <n v="19"/>
    <n v="11"/>
    <n v="2030"/>
    <n v="2"/>
    <n v="0"/>
    <n v="0.49"/>
    <n v="0.49"/>
    <n v="0.49"/>
    <n v="99.159999999999727"/>
  </r>
  <r>
    <x v="203"/>
    <n v="20"/>
    <n v="11"/>
    <n v="2030"/>
    <n v="3"/>
    <n v="0"/>
    <n v="0.49"/>
    <n v="0.49"/>
    <n v="0.49"/>
    <n v="99.649999999999721"/>
  </r>
  <r>
    <x v="204"/>
    <n v="21"/>
    <n v="11"/>
    <n v="2030"/>
    <n v="4"/>
    <n v="0"/>
    <n v="0.49"/>
    <n v="0.49"/>
    <n v="0.49"/>
    <n v="100.13999999999972"/>
  </r>
  <r>
    <x v="205"/>
    <n v="22"/>
    <n v="11"/>
    <n v="2030"/>
    <n v="5"/>
    <n v="0"/>
    <n v="0.49"/>
    <n v="0.49"/>
    <n v="0.49"/>
    <n v="100.62999999999971"/>
  </r>
  <r>
    <x v="206"/>
    <n v="23"/>
    <n v="11"/>
    <n v="2030"/>
    <n v="6"/>
    <n v="0"/>
    <n v="0.49"/>
    <n v="0.49"/>
    <n v="0.49"/>
    <n v="101.11999999999971"/>
  </r>
  <r>
    <x v="207"/>
    <n v="24"/>
    <n v="11"/>
    <n v="2030"/>
    <n v="7"/>
    <n v="0"/>
    <n v="0.49"/>
    <n v="0.49"/>
    <n v="0"/>
    <n v="101.11999999999971"/>
  </r>
  <r>
    <x v="208"/>
    <n v="25"/>
    <n v="11"/>
    <n v="2030"/>
    <n v="1"/>
    <n v="0"/>
    <n v="0.49"/>
    <n v="0.49"/>
    <n v="0.49"/>
    <n v="101.6099999999997"/>
  </r>
  <r>
    <x v="209"/>
    <n v="26"/>
    <n v="11"/>
    <n v="2030"/>
    <n v="2"/>
    <n v="0"/>
    <n v="0.49"/>
    <n v="0.49"/>
    <n v="0.49"/>
    <n v="102.0999999999997"/>
  </r>
  <r>
    <x v="210"/>
    <n v="27"/>
    <n v="11"/>
    <n v="2030"/>
    <n v="3"/>
    <n v="0"/>
    <n v="0.49"/>
    <n v="0.49"/>
    <n v="0.49"/>
    <n v="102.58999999999969"/>
  </r>
  <r>
    <x v="211"/>
    <n v="28"/>
    <n v="11"/>
    <n v="2030"/>
    <n v="4"/>
    <n v="0"/>
    <n v="0.49"/>
    <n v="0.49"/>
    <n v="0.49"/>
    <n v="103.07999999999969"/>
  </r>
  <r>
    <x v="212"/>
    <n v="29"/>
    <n v="11"/>
    <n v="2030"/>
    <n v="5"/>
    <n v="0"/>
    <n v="0.49"/>
    <n v="0.49"/>
    <n v="0.49"/>
    <n v="103.56999999999968"/>
  </r>
  <r>
    <x v="213"/>
    <n v="30"/>
    <n v="11"/>
    <n v="2030"/>
    <n v="6"/>
    <n v="0"/>
    <n v="0.49"/>
    <n v="0.49"/>
    <n v="0.49"/>
    <n v="104.05999999999968"/>
  </r>
  <r>
    <x v="214"/>
    <n v="1"/>
    <n v="12"/>
    <n v="2030"/>
    <n v="7"/>
    <n v="1"/>
    <n v="0.49"/>
    <n v="0.5635"/>
    <n v="0"/>
    <n v="104.05999999999968"/>
  </r>
  <r>
    <x v="215"/>
    <n v="2"/>
    <n v="12"/>
    <n v="2030"/>
    <n v="1"/>
    <n v="0"/>
    <n v="0.49"/>
    <n v="0.49"/>
    <n v="0.49"/>
    <n v="104.54999999999967"/>
  </r>
  <r>
    <x v="216"/>
    <n v="3"/>
    <n v="12"/>
    <n v="2030"/>
    <n v="2"/>
    <n v="0"/>
    <n v="0.49"/>
    <n v="0.49"/>
    <n v="0.49"/>
    <n v="105.03999999999967"/>
  </r>
  <r>
    <x v="217"/>
    <n v="4"/>
    <n v="12"/>
    <n v="2030"/>
    <n v="3"/>
    <n v="0"/>
    <n v="0.49"/>
    <n v="0.49"/>
    <n v="0.49"/>
    <n v="105.52999999999966"/>
  </r>
  <r>
    <x v="218"/>
    <n v="5"/>
    <n v="12"/>
    <n v="2030"/>
    <n v="4"/>
    <n v="0"/>
    <n v="0.49"/>
    <n v="0.49"/>
    <n v="0.49"/>
    <n v="106.01999999999965"/>
  </r>
  <r>
    <x v="219"/>
    <n v="6"/>
    <n v="12"/>
    <n v="2030"/>
    <n v="5"/>
    <n v="0"/>
    <n v="0.49"/>
    <n v="0.49"/>
    <n v="0.49"/>
    <n v="106.50999999999965"/>
  </r>
  <r>
    <x v="220"/>
    <n v="7"/>
    <n v="12"/>
    <n v="2030"/>
    <n v="6"/>
    <n v="0"/>
    <n v="0.49"/>
    <n v="0.49"/>
    <n v="0.49"/>
    <n v="106.99999999999964"/>
  </r>
  <r>
    <x v="221"/>
    <n v="8"/>
    <n v="12"/>
    <n v="2030"/>
    <n v="7"/>
    <n v="0"/>
    <n v="0.49"/>
    <n v="0.49"/>
    <n v="0"/>
    <n v="106.99999999999964"/>
  </r>
  <r>
    <x v="222"/>
    <n v="9"/>
    <n v="12"/>
    <n v="2030"/>
    <n v="1"/>
    <n v="0"/>
    <n v="0.49"/>
    <n v="0.49"/>
    <n v="0.49"/>
    <n v="107.48999999999964"/>
  </r>
  <r>
    <x v="223"/>
    <n v="10"/>
    <n v="12"/>
    <n v="2030"/>
    <n v="2"/>
    <n v="0"/>
    <n v="0.49"/>
    <n v="0.49"/>
    <n v="0.49"/>
    <n v="107.97999999999963"/>
  </r>
  <r>
    <x v="224"/>
    <n v="11"/>
    <n v="12"/>
    <n v="2030"/>
    <n v="3"/>
    <n v="0"/>
    <n v="0.49"/>
    <n v="0.49"/>
    <n v="0.49"/>
    <n v="108.46999999999963"/>
  </r>
  <r>
    <x v="225"/>
    <n v="12"/>
    <n v="12"/>
    <n v="2030"/>
    <n v="4"/>
    <n v="0"/>
    <n v="0.49"/>
    <n v="0.49"/>
    <n v="0.49"/>
    <n v="108.95999999999962"/>
  </r>
  <r>
    <x v="226"/>
    <n v="13"/>
    <n v="12"/>
    <n v="2030"/>
    <n v="5"/>
    <n v="0"/>
    <n v="0.49"/>
    <n v="0.49"/>
    <n v="0.49"/>
    <n v="109.44999999999962"/>
  </r>
  <r>
    <x v="227"/>
    <n v="14"/>
    <n v="12"/>
    <n v="2030"/>
    <n v="6"/>
    <n v="0"/>
    <n v="0.49"/>
    <n v="0.49"/>
    <n v="0.49"/>
    <n v="109.93999999999961"/>
  </r>
  <r>
    <x v="228"/>
    <n v="15"/>
    <n v="12"/>
    <n v="2030"/>
    <n v="7"/>
    <n v="0"/>
    <n v="0.49"/>
    <n v="0.49"/>
    <n v="0"/>
    <n v="109.93999999999961"/>
  </r>
  <r>
    <x v="229"/>
    <n v="16"/>
    <n v="12"/>
    <n v="2030"/>
    <n v="1"/>
    <n v="0"/>
    <n v="0.49"/>
    <n v="0.49"/>
    <n v="0.49"/>
    <n v="110.42999999999961"/>
  </r>
  <r>
    <x v="230"/>
    <n v="17"/>
    <n v="12"/>
    <n v="2030"/>
    <n v="2"/>
    <n v="0"/>
    <n v="0.49"/>
    <n v="0.49"/>
    <n v="0.49"/>
    <n v="110.9199999999996"/>
  </r>
  <r>
    <x v="231"/>
    <n v="18"/>
    <n v="12"/>
    <n v="2030"/>
    <n v="3"/>
    <n v="0"/>
    <n v="0.49"/>
    <n v="0.49"/>
    <n v="0.49"/>
    <n v="111.4099999999996"/>
  </r>
  <r>
    <x v="232"/>
    <n v="19"/>
    <n v="12"/>
    <n v="2030"/>
    <n v="4"/>
    <n v="0"/>
    <n v="0.49"/>
    <n v="0.49"/>
    <n v="0.49"/>
    <n v="111.89999999999959"/>
  </r>
  <r>
    <x v="233"/>
    <n v="20"/>
    <n v="12"/>
    <n v="2030"/>
    <n v="5"/>
    <n v="0"/>
    <n v="0.49"/>
    <n v="0.49"/>
    <n v="0.49"/>
    <n v="112.38999999999959"/>
  </r>
  <r>
    <x v="234"/>
    <n v="21"/>
    <n v="12"/>
    <n v="2030"/>
    <n v="6"/>
    <n v="0"/>
    <n v="0.49"/>
    <n v="0.49"/>
    <n v="0.49"/>
    <n v="112.87999999999958"/>
  </r>
  <r>
    <x v="235"/>
    <n v="22"/>
    <n v="12"/>
    <n v="2030"/>
    <n v="7"/>
    <n v="0"/>
    <n v="0.49"/>
    <n v="0.49"/>
    <n v="0"/>
    <n v="112.87999999999958"/>
  </r>
  <r>
    <x v="236"/>
    <n v="23"/>
    <n v="12"/>
    <n v="2030"/>
    <n v="1"/>
    <n v="0"/>
    <n v="0.49"/>
    <n v="0.49"/>
    <n v="0.49"/>
    <n v="113.36999999999958"/>
  </r>
  <r>
    <x v="237"/>
    <n v="24"/>
    <n v="12"/>
    <n v="2030"/>
    <n v="2"/>
    <n v="0"/>
    <n v="0.49"/>
    <n v="0.49"/>
    <n v="0.49"/>
    <n v="113.85999999999957"/>
  </r>
  <r>
    <x v="238"/>
    <n v="25"/>
    <n v="12"/>
    <n v="2030"/>
    <n v="3"/>
    <n v="0"/>
    <n v="0.49"/>
    <n v="0.49"/>
    <n v="0.49"/>
    <n v="114.34999999999957"/>
  </r>
  <r>
    <x v="239"/>
    <n v="26"/>
    <n v="12"/>
    <n v="2030"/>
    <n v="4"/>
    <n v="0"/>
    <n v="0.49"/>
    <n v="0.49"/>
    <n v="0.49"/>
    <n v="114.83999999999956"/>
  </r>
  <r>
    <x v="240"/>
    <n v="27"/>
    <n v="12"/>
    <n v="2030"/>
    <n v="5"/>
    <n v="0"/>
    <n v="0.49"/>
    <n v="0.49"/>
    <n v="0.49"/>
    <n v="115.32999999999956"/>
  </r>
  <r>
    <x v="241"/>
    <n v="28"/>
    <n v="12"/>
    <n v="2030"/>
    <n v="6"/>
    <n v="0"/>
    <n v="0.49"/>
    <n v="0.49"/>
    <n v="0.49"/>
    <n v="115.81999999999955"/>
  </r>
  <r>
    <x v="242"/>
    <n v="29"/>
    <n v="12"/>
    <n v="2030"/>
    <n v="7"/>
    <n v="0"/>
    <n v="0.49"/>
    <n v="0.49"/>
    <n v="0"/>
    <n v="115.81999999999955"/>
  </r>
  <r>
    <x v="243"/>
    <n v="30"/>
    <n v="12"/>
    <n v="2030"/>
    <n v="1"/>
    <n v="0"/>
    <n v="0.49"/>
    <n v="0.49"/>
    <n v="0.49"/>
    <n v="116.30999999999955"/>
  </r>
  <r>
    <x v="244"/>
    <n v="31"/>
    <n v="12"/>
    <n v="2030"/>
    <n v="2"/>
    <n v="0"/>
    <n v="0.49"/>
    <n v="0.49"/>
    <n v="0.49"/>
    <n v="116.79999999999954"/>
  </r>
  <r>
    <x v="245"/>
    <n v="1"/>
    <n v="1"/>
    <n v="2031"/>
    <n v="3"/>
    <n v="1"/>
    <n v="0.49"/>
    <n v="0.5635"/>
    <n v="0"/>
    <n v="116.79999999999954"/>
  </r>
  <r>
    <x v="246"/>
    <n v="2"/>
    <n v="1"/>
    <n v="2031"/>
    <n v="4"/>
    <n v="0"/>
    <n v="0.49"/>
    <n v="0.49"/>
    <n v="0.49"/>
    <n v="117.28999999999954"/>
  </r>
  <r>
    <x v="247"/>
    <n v="3"/>
    <n v="1"/>
    <n v="2031"/>
    <n v="5"/>
    <n v="0"/>
    <n v="0.49"/>
    <n v="0.49"/>
    <n v="0.49"/>
    <n v="117.77999999999953"/>
  </r>
  <r>
    <x v="248"/>
    <n v="4"/>
    <n v="1"/>
    <n v="2031"/>
    <n v="6"/>
    <n v="0"/>
    <n v="0.49"/>
    <n v="0.49"/>
    <n v="0.49"/>
    <n v="118.26999999999953"/>
  </r>
  <r>
    <x v="249"/>
    <n v="5"/>
    <n v="1"/>
    <n v="2031"/>
    <n v="7"/>
    <n v="0"/>
    <n v="0.49"/>
    <n v="0.49"/>
    <n v="0"/>
    <n v="118.26999999999953"/>
  </r>
  <r>
    <x v="250"/>
    <n v="6"/>
    <n v="1"/>
    <n v="2031"/>
    <n v="1"/>
    <n v="0"/>
    <n v="0.49"/>
    <n v="0.49"/>
    <n v="0.49"/>
    <n v="118.75999999999952"/>
  </r>
  <r>
    <x v="251"/>
    <n v="7"/>
    <n v="1"/>
    <n v="2031"/>
    <n v="2"/>
    <n v="0"/>
    <n v="0.49"/>
    <n v="0.49"/>
    <n v="0.49"/>
    <n v="119.24999999999952"/>
  </r>
  <r>
    <x v="252"/>
    <n v="8"/>
    <n v="1"/>
    <n v="2031"/>
    <n v="3"/>
    <n v="0"/>
    <n v="0.49"/>
    <n v="0.49"/>
    <n v="0.49"/>
    <n v="119.73999999999951"/>
  </r>
  <r>
    <x v="253"/>
    <n v="9"/>
    <n v="1"/>
    <n v="2031"/>
    <n v="4"/>
    <n v="0"/>
    <n v="0.49"/>
    <n v="0.49"/>
    <n v="0.49"/>
    <n v="120.22999999999951"/>
  </r>
  <r>
    <x v="254"/>
    <n v="10"/>
    <n v="1"/>
    <n v="2031"/>
    <n v="5"/>
    <n v="0"/>
    <n v="0.49"/>
    <n v="0.49"/>
    <n v="0.49"/>
    <n v="120.7199999999995"/>
  </r>
  <r>
    <x v="255"/>
    <n v="11"/>
    <n v="1"/>
    <n v="2031"/>
    <n v="6"/>
    <n v="0"/>
    <n v="0.49"/>
    <n v="0.49"/>
    <n v="0.49"/>
    <n v="121.2099999999995"/>
  </r>
  <r>
    <x v="256"/>
    <n v="12"/>
    <n v="1"/>
    <n v="2031"/>
    <n v="7"/>
    <n v="0"/>
    <n v="0.49"/>
    <n v="0.49"/>
    <n v="0"/>
    <n v="121.2099999999995"/>
  </r>
  <r>
    <x v="257"/>
    <n v="13"/>
    <n v="1"/>
    <n v="2031"/>
    <n v="1"/>
    <n v="0"/>
    <n v="0.49"/>
    <n v="0.49"/>
    <n v="0.49"/>
    <n v="121.69999999999949"/>
  </r>
  <r>
    <x v="258"/>
    <n v="14"/>
    <n v="1"/>
    <n v="2031"/>
    <n v="2"/>
    <n v="0"/>
    <n v="0.49"/>
    <n v="0.49"/>
    <n v="0.49"/>
    <n v="122.18999999999949"/>
  </r>
  <r>
    <x v="259"/>
    <n v="15"/>
    <n v="1"/>
    <n v="2031"/>
    <n v="3"/>
    <n v="0"/>
    <n v="0.49"/>
    <n v="0.49"/>
    <n v="0.49"/>
    <n v="122.67999999999948"/>
  </r>
  <r>
    <x v="260"/>
    <n v="16"/>
    <n v="1"/>
    <n v="2031"/>
    <n v="4"/>
    <n v="0"/>
    <n v="0.49"/>
    <n v="0.49"/>
    <n v="0.49"/>
    <n v="123.16999999999948"/>
  </r>
  <r>
    <x v="261"/>
    <n v="17"/>
    <n v="1"/>
    <n v="2031"/>
    <n v="5"/>
    <n v="0"/>
    <n v="0.49"/>
    <n v="0.49"/>
    <n v="0.49"/>
    <n v="123.65999999999947"/>
  </r>
  <r>
    <x v="262"/>
    <n v="18"/>
    <n v="1"/>
    <n v="2031"/>
    <n v="6"/>
    <n v="0"/>
    <n v="0.49"/>
    <n v="0.49"/>
    <n v="0.49"/>
    <n v="124.14999999999947"/>
  </r>
  <r>
    <x v="263"/>
    <n v="19"/>
    <n v="1"/>
    <n v="2031"/>
    <n v="7"/>
    <n v="0"/>
    <n v="0.49"/>
    <n v="0.49"/>
    <n v="0"/>
    <n v="124.14999999999947"/>
  </r>
  <r>
    <x v="264"/>
    <n v="20"/>
    <n v="1"/>
    <n v="2031"/>
    <n v="1"/>
    <n v="0"/>
    <n v="0.49"/>
    <n v="0.49"/>
    <n v="0.49"/>
    <n v="124.63999999999946"/>
  </r>
  <r>
    <x v="265"/>
    <n v="21"/>
    <n v="1"/>
    <n v="2031"/>
    <n v="2"/>
    <n v="0"/>
    <n v="0.49"/>
    <n v="0.49"/>
    <n v="0.49"/>
    <n v="125.12999999999946"/>
  </r>
  <r>
    <x v="266"/>
    <n v="22"/>
    <n v="1"/>
    <n v="2031"/>
    <n v="3"/>
    <n v="0"/>
    <n v="0.49"/>
    <n v="0.49"/>
    <n v="0.49"/>
    <n v="125.61999999999945"/>
  </r>
  <r>
    <x v="267"/>
    <n v="23"/>
    <n v="1"/>
    <n v="2031"/>
    <n v="4"/>
    <n v="0"/>
    <n v="0.49"/>
    <n v="0.49"/>
    <n v="0.49"/>
    <n v="126.10999999999945"/>
  </r>
  <r>
    <x v="268"/>
    <n v="24"/>
    <n v="1"/>
    <n v="2031"/>
    <n v="5"/>
    <n v="0"/>
    <n v="0.49"/>
    <n v="0.49"/>
    <n v="0.49"/>
    <n v="126.59999999999944"/>
  </r>
  <r>
    <x v="269"/>
    <n v="25"/>
    <n v="1"/>
    <n v="2031"/>
    <n v="6"/>
    <n v="0"/>
    <n v="0.49"/>
    <n v="0.49"/>
    <n v="0.49"/>
    <n v="127.08999999999943"/>
  </r>
  <r>
    <x v="270"/>
    <n v="26"/>
    <n v="1"/>
    <n v="2031"/>
    <n v="7"/>
    <n v="0"/>
    <n v="0.49"/>
    <n v="0.49"/>
    <n v="0"/>
    <n v="127.08999999999943"/>
  </r>
  <r>
    <x v="271"/>
    <n v="27"/>
    <n v="1"/>
    <n v="2031"/>
    <n v="1"/>
    <n v="0"/>
    <n v="0.49"/>
    <n v="0.49"/>
    <n v="0.49"/>
    <n v="127.57999999999943"/>
  </r>
  <r>
    <x v="272"/>
    <n v="28"/>
    <n v="1"/>
    <n v="2031"/>
    <n v="2"/>
    <n v="0"/>
    <n v="0.49"/>
    <n v="0.49"/>
    <n v="0.49"/>
    <n v="128.06999999999942"/>
  </r>
  <r>
    <x v="273"/>
    <n v="29"/>
    <n v="1"/>
    <n v="2031"/>
    <n v="3"/>
    <n v="0"/>
    <n v="0.49"/>
    <n v="0.49"/>
    <n v="0.49"/>
    <n v="128.55999999999943"/>
  </r>
  <r>
    <x v="274"/>
    <n v="30"/>
    <n v="1"/>
    <n v="2031"/>
    <n v="4"/>
    <n v="0"/>
    <n v="0.49"/>
    <n v="0.49"/>
    <n v="0.49"/>
    <n v="129.04999999999944"/>
  </r>
  <r>
    <x v="275"/>
    <n v="31"/>
    <n v="1"/>
    <n v="2031"/>
    <n v="5"/>
    <n v="0"/>
    <n v="0.49"/>
    <n v="0.49"/>
    <n v="0.49"/>
    <n v="129.53999999999945"/>
  </r>
  <r>
    <x v="276"/>
    <n v="1"/>
    <n v="2"/>
    <n v="2031"/>
    <n v="6"/>
    <n v="1"/>
    <n v="0.49"/>
    <n v="0.5635"/>
    <n v="0"/>
    <n v="129.53999999999945"/>
  </r>
  <r>
    <x v="277"/>
    <n v="2"/>
    <n v="2"/>
    <n v="2031"/>
    <n v="7"/>
    <n v="0"/>
    <n v="0.49"/>
    <n v="0.49"/>
    <n v="0"/>
    <n v="129.53999999999945"/>
  </r>
  <r>
    <x v="278"/>
    <n v="3"/>
    <n v="2"/>
    <n v="2031"/>
    <n v="1"/>
    <n v="0"/>
    <n v="0.49"/>
    <n v="0.49"/>
    <n v="0.49"/>
    <n v="130.02999999999946"/>
  </r>
  <r>
    <x v="279"/>
    <n v="4"/>
    <n v="2"/>
    <n v="2031"/>
    <n v="2"/>
    <n v="0"/>
    <n v="0.49"/>
    <n v="0.49"/>
    <n v="0.49"/>
    <n v="130.51999999999947"/>
  </r>
  <r>
    <x v="280"/>
    <n v="5"/>
    <n v="2"/>
    <n v="2031"/>
    <n v="3"/>
    <n v="0"/>
    <n v="0.49"/>
    <n v="0.49"/>
    <n v="0.49"/>
    <n v="131.00999999999948"/>
  </r>
  <r>
    <x v="281"/>
    <n v="6"/>
    <n v="2"/>
    <n v="2031"/>
    <n v="4"/>
    <n v="0"/>
    <n v="0.49"/>
    <n v="0.49"/>
    <n v="0.49"/>
    <n v="131.49999999999949"/>
  </r>
  <r>
    <x v="282"/>
    <n v="7"/>
    <n v="2"/>
    <n v="2031"/>
    <n v="5"/>
    <n v="0"/>
    <n v="0.49"/>
    <n v="0.49"/>
    <n v="0.49"/>
    <n v="131.9899999999995"/>
  </r>
  <r>
    <x v="283"/>
    <n v="8"/>
    <n v="2"/>
    <n v="2031"/>
    <n v="6"/>
    <n v="0"/>
    <n v="0.49"/>
    <n v="0.49"/>
    <n v="0.49"/>
    <n v="132.47999999999951"/>
  </r>
  <r>
    <x v="284"/>
    <n v="9"/>
    <n v="2"/>
    <n v="2031"/>
    <n v="7"/>
    <n v="0"/>
    <n v="0.49"/>
    <n v="0.49"/>
    <n v="0"/>
    <n v="132.47999999999951"/>
  </r>
  <r>
    <x v="285"/>
    <n v="10"/>
    <n v="2"/>
    <n v="2031"/>
    <n v="1"/>
    <n v="0"/>
    <n v="0.49"/>
    <n v="0.49"/>
    <n v="0.49"/>
    <n v="132.96999999999952"/>
  </r>
  <r>
    <x v="286"/>
    <n v="11"/>
    <n v="2"/>
    <n v="2031"/>
    <n v="2"/>
    <n v="0"/>
    <n v="0.49"/>
    <n v="0.49"/>
    <n v="0.49"/>
    <n v="133.45999999999952"/>
  </r>
  <r>
    <x v="287"/>
    <n v="12"/>
    <n v="2"/>
    <n v="2031"/>
    <n v="3"/>
    <n v="0"/>
    <n v="0.49"/>
    <n v="0.49"/>
    <n v="0.49"/>
    <n v="133.94999999999953"/>
  </r>
  <r>
    <x v="288"/>
    <n v="13"/>
    <n v="2"/>
    <n v="2031"/>
    <n v="4"/>
    <n v="0"/>
    <n v="0.49"/>
    <n v="0.49"/>
    <n v="0.49"/>
    <n v="134.43999999999954"/>
  </r>
  <r>
    <x v="289"/>
    <n v="14"/>
    <n v="2"/>
    <n v="2031"/>
    <n v="5"/>
    <n v="0"/>
    <n v="0.49"/>
    <n v="0.49"/>
    <n v="0.49"/>
    <n v="134.92999999999955"/>
  </r>
  <r>
    <x v="290"/>
    <n v="15"/>
    <n v="2"/>
    <n v="2031"/>
    <n v="6"/>
    <n v="0"/>
    <n v="0.49"/>
    <n v="0.49"/>
    <n v="0.49"/>
    <n v="135.41999999999956"/>
  </r>
  <r>
    <x v="291"/>
    <n v="16"/>
    <n v="2"/>
    <n v="2031"/>
    <n v="7"/>
    <n v="0"/>
    <n v="0.49"/>
    <n v="0.49"/>
    <n v="0"/>
    <n v="135.41999999999956"/>
  </r>
  <r>
    <x v="292"/>
    <n v="17"/>
    <n v="2"/>
    <n v="2031"/>
    <n v="1"/>
    <n v="0"/>
    <n v="0.49"/>
    <n v="0.49"/>
    <n v="0.49"/>
    <n v="135.90999999999957"/>
  </r>
  <r>
    <x v="293"/>
    <n v="18"/>
    <n v="2"/>
    <n v="2031"/>
    <n v="2"/>
    <n v="0"/>
    <n v="0.49"/>
    <n v="0.49"/>
    <n v="0.49"/>
    <n v="136.39999999999958"/>
  </r>
  <r>
    <x v="294"/>
    <n v="19"/>
    <n v="2"/>
    <n v="2031"/>
    <n v="3"/>
    <n v="0"/>
    <n v="0.49"/>
    <n v="0.49"/>
    <n v="0.49"/>
    <n v="136.88999999999959"/>
  </r>
  <r>
    <x v="295"/>
    <n v="20"/>
    <n v="2"/>
    <n v="2031"/>
    <n v="4"/>
    <n v="0"/>
    <n v="0.49"/>
    <n v="0.49"/>
    <n v="0.49"/>
    <n v="137.3799999999996"/>
  </r>
  <r>
    <x v="296"/>
    <n v="21"/>
    <n v="2"/>
    <n v="2031"/>
    <n v="5"/>
    <n v="0"/>
    <n v="0.49"/>
    <n v="0.49"/>
    <n v="0.49"/>
    <n v="137.86999999999961"/>
  </r>
  <r>
    <x v="297"/>
    <n v="22"/>
    <n v="2"/>
    <n v="2031"/>
    <n v="6"/>
    <n v="0"/>
    <n v="0.49"/>
    <n v="0.49"/>
    <n v="0.49"/>
    <n v="138.35999999999962"/>
  </r>
  <r>
    <x v="298"/>
    <n v="23"/>
    <n v="2"/>
    <n v="2031"/>
    <n v="7"/>
    <n v="0"/>
    <n v="0.49"/>
    <n v="0.49"/>
    <n v="0"/>
    <n v="138.35999999999962"/>
  </r>
  <r>
    <x v="299"/>
    <n v="24"/>
    <n v="2"/>
    <n v="2031"/>
    <n v="1"/>
    <n v="0"/>
    <n v="0.49"/>
    <n v="0.49"/>
    <n v="0.49"/>
    <n v="138.84999999999962"/>
  </r>
  <r>
    <x v="300"/>
    <n v="25"/>
    <n v="2"/>
    <n v="2031"/>
    <n v="2"/>
    <n v="0"/>
    <n v="0.49"/>
    <n v="0.49"/>
    <n v="0.49"/>
    <n v="139.33999999999963"/>
  </r>
  <r>
    <x v="301"/>
    <n v="26"/>
    <n v="2"/>
    <n v="2031"/>
    <n v="3"/>
    <n v="0"/>
    <n v="0.49"/>
    <n v="0.49"/>
    <n v="0.49"/>
    <n v="139.82999999999964"/>
  </r>
  <r>
    <x v="302"/>
    <n v="27"/>
    <n v="2"/>
    <n v="2031"/>
    <n v="4"/>
    <n v="0"/>
    <n v="0.49"/>
    <n v="0.49"/>
    <n v="0.49"/>
    <n v="140.31999999999965"/>
  </r>
  <r>
    <x v="303"/>
    <n v="28"/>
    <n v="2"/>
    <n v="2031"/>
    <n v="5"/>
    <n v="0"/>
    <n v="0.49"/>
    <n v="0.49"/>
    <n v="0.49"/>
    <n v="140.80999999999966"/>
  </r>
  <r>
    <x v="304"/>
    <n v="1"/>
    <n v="3"/>
    <n v="2031"/>
    <n v="6"/>
    <n v="1"/>
    <n v="0.49"/>
    <n v="0.5635"/>
    <n v="0"/>
    <n v="140.80999999999966"/>
  </r>
  <r>
    <x v="305"/>
    <n v="2"/>
    <n v="3"/>
    <n v="2031"/>
    <n v="7"/>
    <n v="0"/>
    <n v="0.49"/>
    <n v="0.49"/>
    <n v="0"/>
    <n v="140.80999999999966"/>
  </r>
  <r>
    <x v="306"/>
    <n v="3"/>
    <n v="3"/>
    <n v="2031"/>
    <n v="1"/>
    <n v="0"/>
    <n v="0.49"/>
    <n v="0.49"/>
    <n v="0.49"/>
    <n v="141.29999999999967"/>
  </r>
  <r>
    <x v="307"/>
    <n v="4"/>
    <n v="3"/>
    <n v="2031"/>
    <n v="2"/>
    <n v="0"/>
    <n v="0.49"/>
    <n v="0.49"/>
    <n v="0.49"/>
    <n v="141.78999999999968"/>
  </r>
  <r>
    <x v="308"/>
    <n v="5"/>
    <n v="3"/>
    <n v="2031"/>
    <n v="3"/>
    <n v="0"/>
    <n v="0.49"/>
    <n v="0.49"/>
    <n v="0.49"/>
    <n v="142.27999999999969"/>
  </r>
  <r>
    <x v="309"/>
    <n v="6"/>
    <n v="3"/>
    <n v="2031"/>
    <n v="4"/>
    <n v="0"/>
    <n v="0.49"/>
    <n v="0.49"/>
    <n v="0.49"/>
    <n v="142.7699999999997"/>
  </r>
  <r>
    <x v="310"/>
    <n v="7"/>
    <n v="3"/>
    <n v="2031"/>
    <n v="5"/>
    <n v="0"/>
    <n v="0.49"/>
    <n v="0.49"/>
    <n v="0.49"/>
    <n v="143.25999999999971"/>
  </r>
  <r>
    <x v="311"/>
    <n v="8"/>
    <n v="3"/>
    <n v="2031"/>
    <n v="6"/>
    <n v="0"/>
    <n v="0.49"/>
    <n v="0.49"/>
    <n v="0.49"/>
    <n v="143.74999999999972"/>
  </r>
  <r>
    <x v="312"/>
    <n v="9"/>
    <n v="3"/>
    <n v="2031"/>
    <n v="7"/>
    <n v="0"/>
    <n v="0.49"/>
    <n v="0.49"/>
    <n v="0"/>
    <n v="143.74999999999972"/>
  </r>
  <r>
    <x v="313"/>
    <n v="10"/>
    <n v="3"/>
    <n v="2031"/>
    <n v="1"/>
    <n v="0"/>
    <n v="0.49"/>
    <n v="0.49"/>
    <n v="0.49"/>
    <n v="144.23999999999972"/>
  </r>
  <r>
    <x v="314"/>
    <n v="11"/>
    <n v="3"/>
    <n v="2031"/>
    <n v="2"/>
    <n v="0"/>
    <n v="0.49"/>
    <n v="0.49"/>
    <n v="0.49"/>
    <n v="144.72999999999973"/>
  </r>
  <r>
    <x v="315"/>
    <n v="12"/>
    <n v="3"/>
    <n v="2031"/>
    <n v="3"/>
    <n v="0"/>
    <n v="0.49"/>
    <n v="0.49"/>
    <n v="0.49"/>
    <n v="145.21999999999974"/>
  </r>
  <r>
    <x v="316"/>
    <n v="13"/>
    <n v="3"/>
    <n v="2031"/>
    <n v="4"/>
    <n v="0"/>
    <n v="0.49"/>
    <n v="0.49"/>
    <n v="0.49"/>
    <n v="145.70999999999975"/>
  </r>
  <r>
    <x v="317"/>
    <n v="14"/>
    <n v="3"/>
    <n v="2031"/>
    <n v="5"/>
    <n v="0"/>
    <n v="0.49"/>
    <n v="0.49"/>
    <n v="0.49"/>
    <n v="146.19999999999976"/>
  </r>
  <r>
    <x v="318"/>
    <n v="15"/>
    <n v="3"/>
    <n v="2031"/>
    <n v="6"/>
    <n v="0"/>
    <n v="0.49"/>
    <n v="0.49"/>
    <n v="0.49"/>
    <n v="146.68999999999977"/>
  </r>
  <r>
    <x v="319"/>
    <n v="16"/>
    <n v="3"/>
    <n v="2031"/>
    <n v="7"/>
    <n v="0"/>
    <n v="0.49"/>
    <n v="0.49"/>
    <n v="0"/>
    <n v="146.68999999999977"/>
  </r>
  <r>
    <x v="320"/>
    <n v="17"/>
    <n v="3"/>
    <n v="2031"/>
    <n v="1"/>
    <n v="0"/>
    <n v="0.49"/>
    <n v="0.49"/>
    <n v="0.49"/>
    <n v="147.17999999999978"/>
  </r>
  <r>
    <x v="321"/>
    <n v="18"/>
    <n v="3"/>
    <n v="2031"/>
    <n v="2"/>
    <n v="0"/>
    <n v="0.49"/>
    <n v="0.49"/>
    <n v="0.49"/>
    <n v="147.66999999999979"/>
  </r>
  <r>
    <x v="322"/>
    <n v="19"/>
    <n v="3"/>
    <n v="2031"/>
    <n v="3"/>
    <n v="0"/>
    <n v="0.49"/>
    <n v="0.49"/>
    <n v="0.49"/>
    <n v="148.1599999999998"/>
  </r>
  <r>
    <x v="323"/>
    <n v="20"/>
    <n v="3"/>
    <n v="2031"/>
    <n v="4"/>
    <n v="0"/>
    <n v="0.49"/>
    <n v="0.49"/>
    <n v="0.49"/>
    <n v="148.64999999999981"/>
  </r>
  <r>
    <x v="324"/>
    <n v="21"/>
    <n v="3"/>
    <n v="2031"/>
    <n v="5"/>
    <n v="0"/>
    <n v="0.49"/>
    <n v="0.49"/>
    <n v="0.49"/>
    <n v="149.13999999999982"/>
  </r>
  <r>
    <x v="325"/>
    <n v="22"/>
    <n v="3"/>
    <n v="2031"/>
    <n v="6"/>
    <n v="0"/>
    <n v="0.49"/>
    <n v="0.49"/>
    <n v="0.49"/>
    <n v="149.62999999999982"/>
  </r>
  <r>
    <x v="326"/>
    <n v="23"/>
    <n v="3"/>
    <n v="2031"/>
    <n v="7"/>
    <n v="0"/>
    <n v="0.49"/>
    <n v="0.49"/>
    <n v="0"/>
    <n v="149.62999999999982"/>
  </r>
  <r>
    <x v="327"/>
    <n v="24"/>
    <n v="3"/>
    <n v="2031"/>
    <n v="1"/>
    <n v="0"/>
    <n v="0.49"/>
    <n v="0.49"/>
    <n v="0.49"/>
    <n v="150.11999999999983"/>
  </r>
  <r>
    <x v="328"/>
    <n v="25"/>
    <n v="3"/>
    <n v="2031"/>
    <n v="2"/>
    <n v="0"/>
    <n v="0.49"/>
    <n v="0.49"/>
    <n v="0.49"/>
    <n v="150.60999999999984"/>
  </r>
  <r>
    <x v="329"/>
    <n v="26"/>
    <n v="3"/>
    <n v="2031"/>
    <n v="3"/>
    <n v="0"/>
    <n v="0.49"/>
    <n v="0.49"/>
    <n v="0.49"/>
    <n v="151.09999999999985"/>
  </r>
  <r>
    <x v="330"/>
    <n v="27"/>
    <n v="3"/>
    <n v="2031"/>
    <n v="4"/>
    <n v="0"/>
    <n v="0.49"/>
    <n v="0.49"/>
    <n v="0.49"/>
    <n v="151.58999999999986"/>
  </r>
  <r>
    <x v="331"/>
    <n v="28"/>
    <n v="3"/>
    <n v="2031"/>
    <n v="5"/>
    <n v="0"/>
    <n v="0.49"/>
    <n v="0.49"/>
    <n v="0.49"/>
    <n v="152.07999999999987"/>
  </r>
  <r>
    <x v="332"/>
    <n v="29"/>
    <n v="3"/>
    <n v="2031"/>
    <n v="6"/>
    <n v="0"/>
    <n v="0.49"/>
    <n v="0.49"/>
    <n v="0.49"/>
    <n v="152.56999999999988"/>
  </r>
  <r>
    <x v="333"/>
    <n v="30"/>
    <n v="3"/>
    <n v="2031"/>
    <n v="7"/>
    <n v="0"/>
    <n v="0.49"/>
    <n v="0.49"/>
    <n v="0"/>
    <n v="152.56999999999988"/>
  </r>
  <r>
    <x v="334"/>
    <n v="31"/>
    <n v="3"/>
    <n v="2031"/>
    <n v="1"/>
    <n v="0"/>
    <n v="0.49"/>
    <n v="0.49"/>
    <n v="0.49"/>
    <n v="153.05999999999989"/>
  </r>
  <r>
    <x v="335"/>
    <n v="1"/>
    <n v="4"/>
    <n v="2031"/>
    <n v="2"/>
    <n v="1"/>
    <n v="0.49"/>
    <n v="0.5635"/>
    <n v="0"/>
    <n v="153.05999999999989"/>
  </r>
  <r>
    <x v="336"/>
    <n v="2"/>
    <n v="4"/>
    <n v="2031"/>
    <n v="3"/>
    <n v="0"/>
    <n v="0.49"/>
    <n v="0.49"/>
    <n v="0.49"/>
    <n v="153.5499999999999"/>
  </r>
  <r>
    <x v="337"/>
    <n v="3"/>
    <n v="4"/>
    <n v="2031"/>
    <n v="4"/>
    <n v="0"/>
    <n v="0.49"/>
    <n v="0.49"/>
    <n v="0.49"/>
    <n v="154.03999999999991"/>
  </r>
  <r>
    <x v="338"/>
    <n v="4"/>
    <n v="4"/>
    <n v="2031"/>
    <n v="5"/>
    <n v="0"/>
    <n v="0.49"/>
    <n v="0.49"/>
    <n v="0.49"/>
    <n v="154.52999999999992"/>
  </r>
  <r>
    <x v="339"/>
    <n v="5"/>
    <n v="4"/>
    <n v="2031"/>
    <n v="6"/>
    <n v="0"/>
    <n v="0.49"/>
    <n v="0.49"/>
    <n v="0.49"/>
    <n v="155.01999999999992"/>
  </r>
  <r>
    <x v="340"/>
    <n v="6"/>
    <n v="4"/>
    <n v="2031"/>
    <n v="7"/>
    <n v="0"/>
    <n v="0.49"/>
    <n v="0.49"/>
    <n v="0"/>
    <n v="155.01999999999992"/>
  </r>
  <r>
    <x v="341"/>
    <n v="7"/>
    <n v="4"/>
    <n v="2031"/>
    <n v="1"/>
    <n v="0"/>
    <n v="0.49"/>
    <n v="0.49"/>
    <n v="0.49"/>
    <n v="155.50999999999993"/>
  </r>
  <r>
    <x v="342"/>
    <n v="8"/>
    <n v="4"/>
    <n v="2031"/>
    <n v="2"/>
    <n v="0"/>
    <n v="0.49"/>
    <n v="0.49"/>
    <n v="0.49"/>
    <n v="155.99999999999994"/>
  </r>
  <r>
    <x v="343"/>
    <n v="9"/>
    <n v="4"/>
    <n v="2031"/>
    <n v="3"/>
    <n v="0"/>
    <n v="0.49"/>
    <n v="0.49"/>
    <n v="0.49"/>
    <n v="156.48999999999995"/>
  </r>
  <r>
    <x v="344"/>
    <n v="10"/>
    <n v="4"/>
    <n v="2031"/>
    <n v="4"/>
    <n v="0"/>
    <n v="0.49"/>
    <n v="0.49"/>
    <n v="0.49"/>
    <n v="156.97999999999996"/>
  </r>
  <r>
    <x v="345"/>
    <n v="11"/>
    <n v="4"/>
    <n v="2031"/>
    <n v="5"/>
    <n v="0"/>
    <n v="0.49"/>
    <n v="0.49"/>
    <n v="0.49"/>
    <n v="157.46999999999997"/>
  </r>
  <r>
    <x v="346"/>
    <n v="12"/>
    <n v="4"/>
    <n v="2031"/>
    <n v="6"/>
    <n v="0"/>
    <n v="0.49"/>
    <n v="0.49"/>
    <n v="0.49"/>
    <n v="157.95999999999998"/>
  </r>
  <r>
    <x v="347"/>
    <n v="13"/>
    <n v="4"/>
    <n v="2031"/>
    <n v="7"/>
    <n v="0"/>
    <n v="0.49"/>
    <n v="0.49"/>
    <n v="0"/>
    <n v="157.95999999999998"/>
  </r>
  <r>
    <x v="348"/>
    <n v="14"/>
    <n v="4"/>
    <n v="2031"/>
    <n v="1"/>
    <n v="0"/>
    <n v="0.49"/>
    <n v="0.49"/>
    <n v="0.49"/>
    <n v="158.44999999999999"/>
  </r>
  <r>
    <x v="349"/>
    <n v="15"/>
    <n v="4"/>
    <n v="2031"/>
    <n v="2"/>
    <n v="0"/>
    <n v="0.49"/>
    <n v="0.49"/>
    <n v="0.49"/>
    <n v="158.94"/>
  </r>
  <r>
    <x v="350"/>
    <n v="16"/>
    <n v="4"/>
    <n v="2031"/>
    <n v="3"/>
    <n v="0"/>
    <n v="0.49"/>
    <n v="0.49"/>
    <n v="0.49"/>
    <n v="159.43"/>
  </r>
  <r>
    <x v="351"/>
    <n v="17"/>
    <n v="4"/>
    <n v="2031"/>
    <n v="4"/>
    <n v="0"/>
    <n v="0.49"/>
    <n v="0.49"/>
    <n v="0.49"/>
    <n v="159.92000000000002"/>
  </r>
  <r>
    <x v="352"/>
    <n v="18"/>
    <n v="4"/>
    <n v="2031"/>
    <n v="5"/>
    <n v="0"/>
    <n v="0.49"/>
    <n v="0.49"/>
    <n v="0.49"/>
    <n v="160.41000000000003"/>
  </r>
  <r>
    <x v="353"/>
    <n v="19"/>
    <n v="4"/>
    <n v="2031"/>
    <n v="6"/>
    <n v="0"/>
    <n v="0.49"/>
    <n v="0.49"/>
    <n v="0.49"/>
    <n v="160.90000000000003"/>
  </r>
  <r>
    <x v="354"/>
    <n v="20"/>
    <n v="4"/>
    <n v="2031"/>
    <n v="7"/>
    <n v="0"/>
    <n v="0.49"/>
    <n v="0.49"/>
    <n v="0"/>
    <n v="160.90000000000003"/>
  </r>
  <r>
    <x v="355"/>
    <n v="21"/>
    <n v="4"/>
    <n v="2031"/>
    <n v="1"/>
    <n v="0"/>
    <n v="0.49"/>
    <n v="0.49"/>
    <n v="0.49"/>
    <n v="161.39000000000004"/>
  </r>
  <r>
    <x v="356"/>
    <n v="22"/>
    <n v="4"/>
    <n v="2031"/>
    <n v="2"/>
    <n v="0"/>
    <n v="0.49"/>
    <n v="0.49"/>
    <n v="0.49"/>
    <n v="161.88000000000005"/>
  </r>
  <r>
    <x v="357"/>
    <n v="23"/>
    <n v="4"/>
    <n v="2031"/>
    <n v="3"/>
    <n v="0"/>
    <n v="0.49"/>
    <n v="0.49"/>
    <n v="0.49"/>
    <n v="162.37000000000006"/>
  </r>
  <r>
    <x v="358"/>
    <n v="24"/>
    <n v="4"/>
    <n v="2031"/>
    <n v="4"/>
    <n v="0"/>
    <n v="0.49"/>
    <n v="0.49"/>
    <n v="0.49"/>
    <n v="162.86000000000007"/>
  </r>
  <r>
    <x v="359"/>
    <n v="25"/>
    <n v="4"/>
    <n v="2031"/>
    <n v="5"/>
    <n v="0"/>
    <n v="0.49"/>
    <n v="0.49"/>
    <n v="0.49"/>
    <n v="163.35000000000008"/>
  </r>
  <r>
    <x v="360"/>
    <n v="26"/>
    <n v="4"/>
    <n v="2031"/>
    <n v="6"/>
    <n v="0"/>
    <n v="0.49"/>
    <n v="0.49"/>
    <n v="0.49"/>
    <n v="163.84000000000009"/>
  </r>
  <r>
    <x v="361"/>
    <n v="27"/>
    <n v="4"/>
    <n v="2031"/>
    <n v="7"/>
    <n v="0"/>
    <n v="0.49"/>
    <n v="0.49"/>
    <n v="0"/>
    <n v="163.84000000000009"/>
  </r>
  <r>
    <x v="362"/>
    <n v="28"/>
    <n v="4"/>
    <n v="2031"/>
    <n v="1"/>
    <n v="0"/>
    <n v="0.49"/>
    <n v="0.49"/>
    <n v="0.49"/>
    <n v="164.3300000000001"/>
  </r>
  <r>
    <x v="363"/>
    <n v="29"/>
    <n v="4"/>
    <n v="2031"/>
    <n v="2"/>
    <n v="0"/>
    <n v="0.49"/>
    <n v="0.49"/>
    <n v="0.49"/>
    <n v="164.82000000000011"/>
  </r>
  <r>
    <x v="364"/>
    <n v="30"/>
    <n v="4"/>
    <n v="2031"/>
    <n v="3"/>
    <n v="0"/>
    <n v="0.49"/>
    <n v="0.49"/>
    <n v="0.49"/>
    <n v="165.31000000000012"/>
  </r>
  <r>
    <x v="365"/>
    <n v="1"/>
    <n v="5"/>
    <n v="2031"/>
    <n v="4"/>
    <n v="1"/>
    <n v="0.49"/>
    <n v="0.5635"/>
    <n v="0"/>
    <n v="165.31000000000012"/>
  </r>
  <r>
    <x v="366"/>
    <n v="2"/>
    <n v="5"/>
    <n v="2031"/>
    <n v="5"/>
    <n v="0"/>
    <n v="0.49"/>
    <n v="0.49"/>
    <n v="0.49"/>
    <n v="165.80000000000013"/>
  </r>
  <r>
    <x v="367"/>
    <n v="3"/>
    <n v="5"/>
    <n v="2031"/>
    <n v="6"/>
    <n v="0"/>
    <n v="0.49"/>
    <n v="0.49"/>
    <n v="0.49"/>
    <n v="166.29000000000013"/>
  </r>
  <r>
    <x v="368"/>
    <n v="4"/>
    <n v="5"/>
    <n v="2031"/>
    <n v="7"/>
    <n v="0"/>
    <n v="0.49"/>
    <n v="0.49"/>
    <n v="0"/>
    <n v="166.29000000000013"/>
  </r>
  <r>
    <x v="369"/>
    <n v="5"/>
    <n v="5"/>
    <n v="2031"/>
    <n v="1"/>
    <n v="0"/>
    <n v="0.49"/>
    <n v="0.49"/>
    <n v="0.49"/>
    <n v="166.78000000000014"/>
  </r>
  <r>
    <x v="370"/>
    <n v="6"/>
    <n v="5"/>
    <n v="2031"/>
    <n v="2"/>
    <n v="0"/>
    <n v="0.49"/>
    <n v="0.49"/>
    <n v="0.49"/>
    <n v="167.27000000000015"/>
  </r>
  <r>
    <x v="371"/>
    <n v="7"/>
    <n v="5"/>
    <n v="2031"/>
    <n v="3"/>
    <n v="0"/>
    <n v="0.49"/>
    <n v="0.49"/>
    <n v="0.49"/>
    <n v="167.76000000000016"/>
  </r>
  <r>
    <x v="372"/>
    <n v="8"/>
    <n v="5"/>
    <n v="2031"/>
    <n v="4"/>
    <n v="0"/>
    <n v="0.49"/>
    <n v="0.49"/>
    <n v="0.49"/>
    <n v="168.25000000000017"/>
  </r>
  <r>
    <x v="373"/>
    <n v="9"/>
    <n v="5"/>
    <n v="2031"/>
    <n v="5"/>
    <n v="0"/>
    <n v="0.49"/>
    <n v="0.49"/>
    <n v="0.49"/>
    <n v="168.74000000000018"/>
  </r>
  <r>
    <x v="374"/>
    <n v="10"/>
    <n v="5"/>
    <n v="2031"/>
    <n v="6"/>
    <n v="0"/>
    <n v="0.49"/>
    <n v="0.49"/>
    <n v="0.49"/>
    <n v="169.23000000000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086AA-A02C-41CC-B74C-32439E167684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N4:O17" firstHeaderRow="1" firstDataRow="1" firstDataCol="1"/>
  <pivotFields count="13">
    <pivotField numFmtId="14" showAll="0">
      <items count="3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ile drazy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BF812-1EE3-4C68-9211-0EBAFBC6E5B1}">
  <dimension ref="A1:O376"/>
  <sheetViews>
    <sheetView tabSelected="1" workbookViewId="0">
      <selection activeCell="L4" sqref="L4"/>
    </sheetView>
  </sheetViews>
  <sheetFormatPr defaultRowHeight="15" x14ac:dyDescent="0.25"/>
  <cols>
    <col min="1" max="1" width="10.140625" bestFit="1" customWidth="1"/>
    <col min="6" max="6" width="23.7109375" bestFit="1" customWidth="1"/>
    <col min="7" max="7" width="12.140625" bestFit="1" customWidth="1"/>
    <col min="8" max="8" width="14.140625" bestFit="1" customWidth="1"/>
    <col min="9" max="9" width="15.5703125" bestFit="1" customWidth="1"/>
    <col min="10" max="10" width="12.28515625" bestFit="1" customWidth="1"/>
    <col min="14" max="14" width="17.85546875" bestFit="1" customWidth="1"/>
    <col min="15" max="15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H1" t="s">
        <v>8</v>
      </c>
      <c r="I1" t="s">
        <v>5</v>
      </c>
      <c r="J1" t="s">
        <v>9</v>
      </c>
    </row>
    <row r="2" spans="1:15" x14ac:dyDescent="0.25">
      <c r="A2" s="1">
        <v>47604</v>
      </c>
      <c r="B2">
        <f>DAY(A2)</f>
        <v>1</v>
      </c>
      <c r="C2">
        <f>MONTH(A2)</f>
        <v>5</v>
      </c>
      <c r="D2">
        <f>YEAR(A2)</f>
        <v>2030</v>
      </c>
      <c r="E2" s="2">
        <f>WEEKDAY(A2,2)</f>
        <v>3</v>
      </c>
      <c r="F2">
        <v>0</v>
      </c>
      <c r="G2">
        <v>1</v>
      </c>
      <c r="H2">
        <f>IF(F2=1,G2+G2*0.15,G2)</f>
        <v>1</v>
      </c>
      <c r="I2">
        <f>IF(AND(F2=0,E2&lt;&gt;7),H2,0)</f>
        <v>1</v>
      </c>
      <c r="J2">
        <f>I2</f>
        <v>1</v>
      </c>
      <c r="L2">
        <f>COUNTIF(I2:I376,0)</f>
        <v>63</v>
      </c>
    </row>
    <row r="3" spans="1:15" x14ac:dyDescent="0.25">
      <c r="A3" s="1">
        <v>47605</v>
      </c>
      <c r="B3">
        <f t="shared" ref="B3:B66" si="0">DAY(A3)</f>
        <v>2</v>
      </c>
      <c r="C3">
        <f t="shared" ref="C3:C66" si="1">MONTH(A3)</f>
        <v>5</v>
      </c>
      <c r="D3">
        <f t="shared" ref="D3:D66" si="2">YEAR(A3)</f>
        <v>2030</v>
      </c>
      <c r="E3" s="2">
        <f t="shared" ref="E3:E66" si="3">WEEKDAY(A3,2)</f>
        <v>4</v>
      </c>
      <c r="F3">
        <f>IF(B3=1,1,0)</f>
        <v>0</v>
      </c>
      <c r="G3">
        <v>1</v>
      </c>
      <c r="H3">
        <f t="shared" ref="H3:H66" si="4">IF(F3=1,G3+G3*0.15,G3)</f>
        <v>1</v>
      </c>
      <c r="I3">
        <f t="shared" ref="I3:I66" si="5">IF(AND(F3=0,E3&lt;&gt;7),H3,0)</f>
        <v>1</v>
      </c>
      <c r="J3">
        <f>J2+I3</f>
        <v>2</v>
      </c>
      <c r="K3">
        <f>IF(AND(I3=0,I2=0),1,0)</f>
        <v>0</v>
      </c>
    </row>
    <row r="4" spans="1:15" x14ac:dyDescent="0.25">
      <c r="A4" s="1">
        <v>47606</v>
      </c>
      <c r="B4">
        <f t="shared" si="0"/>
        <v>3</v>
      </c>
      <c r="C4">
        <f t="shared" si="1"/>
        <v>5</v>
      </c>
      <c r="D4">
        <f t="shared" si="2"/>
        <v>2030</v>
      </c>
      <c r="E4" s="2">
        <f t="shared" si="3"/>
        <v>5</v>
      </c>
      <c r="F4">
        <f t="shared" ref="F4:F67" si="6">IF(B4=1,1,0)</f>
        <v>0</v>
      </c>
      <c r="G4">
        <v>1</v>
      </c>
      <c r="H4">
        <f t="shared" si="4"/>
        <v>1</v>
      </c>
      <c r="I4">
        <f t="shared" si="5"/>
        <v>1</v>
      </c>
      <c r="J4">
        <f t="shared" ref="J4:J67" si="7">J3+I4</f>
        <v>3</v>
      </c>
      <c r="K4">
        <f t="shared" ref="K4:K67" si="8">IF(AND(I4=0,I3=0),1,0)</f>
        <v>0</v>
      </c>
      <c r="L4">
        <f>COUNTIF(K3:K376,1)</f>
        <v>4</v>
      </c>
      <c r="N4" s="4" t="s">
        <v>10</v>
      </c>
      <c r="O4" t="s">
        <v>24</v>
      </c>
    </row>
    <row r="5" spans="1:15" x14ac:dyDescent="0.25">
      <c r="A5" s="1">
        <v>47607</v>
      </c>
      <c r="B5">
        <f t="shared" si="0"/>
        <v>4</v>
      </c>
      <c r="C5">
        <f t="shared" si="1"/>
        <v>5</v>
      </c>
      <c r="D5">
        <f t="shared" si="2"/>
        <v>2030</v>
      </c>
      <c r="E5" s="2">
        <f t="shared" si="3"/>
        <v>6</v>
      </c>
      <c r="F5">
        <f t="shared" si="6"/>
        <v>0</v>
      </c>
      <c r="G5">
        <v>1</v>
      </c>
      <c r="H5">
        <f t="shared" si="4"/>
        <v>1</v>
      </c>
      <c r="I5">
        <f t="shared" si="5"/>
        <v>1</v>
      </c>
      <c r="J5">
        <f t="shared" si="7"/>
        <v>4</v>
      </c>
      <c r="K5">
        <f t="shared" si="8"/>
        <v>0</v>
      </c>
      <c r="N5" s="5" t="s">
        <v>12</v>
      </c>
      <c r="O5" s="3">
        <v>12.740000000000004</v>
      </c>
    </row>
    <row r="6" spans="1:15" x14ac:dyDescent="0.25">
      <c r="A6" s="1">
        <v>47608</v>
      </c>
      <c r="B6">
        <f t="shared" si="0"/>
        <v>5</v>
      </c>
      <c r="C6">
        <f t="shared" si="1"/>
        <v>5</v>
      </c>
      <c r="D6">
        <f t="shared" si="2"/>
        <v>2030</v>
      </c>
      <c r="E6" s="2">
        <f t="shared" si="3"/>
        <v>7</v>
      </c>
      <c r="F6">
        <f t="shared" si="6"/>
        <v>0</v>
      </c>
      <c r="G6">
        <v>1</v>
      </c>
      <c r="H6">
        <f t="shared" si="4"/>
        <v>1</v>
      </c>
      <c r="I6">
        <f t="shared" si="5"/>
        <v>0</v>
      </c>
      <c r="J6">
        <f t="shared" si="7"/>
        <v>4</v>
      </c>
      <c r="K6">
        <f t="shared" si="8"/>
        <v>0</v>
      </c>
      <c r="N6" s="5" t="s">
        <v>13</v>
      </c>
      <c r="O6" s="3">
        <v>11.270000000000003</v>
      </c>
    </row>
    <row r="7" spans="1:15" x14ac:dyDescent="0.25">
      <c r="A7" s="1">
        <v>47609</v>
      </c>
      <c r="B7">
        <f t="shared" si="0"/>
        <v>6</v>
      </c>
      <c r="C7">
        <f t="shared" si="1"/>
        <v>5</v>
      </c>
      <c r="D7">
        <f t="shared" si="2"/>
        <v>2030</v>
      </c>
      <c r="E7" s="2">
        <f t="shared" si="3"/>
        <v>1</v>
      </c>
      <c r="F7">
        <f t="shared" si="6"/>
        <v>0</v>
      </c>
      <c r="G7">
        <v>1</v>
      </c>
      <c r="H7">
        <f t="shared" si="4"/>
        <v>1</v>
      </c>
      <c r="I7">
        <f t="shared" si="5"/>
        <v>1</v>
      </c>
      <c r="J7">
        <f t="shared" si="7"/>
        <v>5</v>
      </c>
      <c r="K7">
        <f t="shared" si="8"/>
        <v>0</v>
      </c>
      <c r="N7" s="5" t="s">
        <v>14</v>
      </c>
      <c r="O7" s="3">
        <v>12.250000000000004</v>
      </c>
    </row>
    <row r="8" spans="1:15" x14ac:dyDescent="0.25">
      <c r="A8" s="1">
        <v>47610</v>
      </c>
      <c r="B8">
        <f t="shared" si="0"/>
        <v>7</v>
      </c>
      <c r="C8">
        <f t="shared" si="1"/>
        <v>5</v>
      </c>
      <c r="D8">
        <f t="shared" si="2"/>
        <v>2030</v>
      </c>
      <c r="E8" s="2">
        <f t="shared" si="3"/>
        <v>2</v>
      </c>
      <c r="F8">
        <f t="shared" si="6"/>
        <v>0</v>
      </c>
      <c r="G8">
        <v>1</v>
      </c>
      <c r="H8">
        <f t="shared" si="4"/>
        <v>1</v>
      </c>
      <c r="I8">
        <f t="shared" si="5"/>
        <v>1</v>
      </c>
      <c r="J8">
        <f t="shared" si="7"/>
        <v>6</v>
      </c>
      <c r="K8">
        <f t="shared" si="8"/>
        <v>0</v>
      </c>
      <c r="N8" s="5" t="s">
        <v>15</v>
      </c>
      <c r="O8" s="3">
        <v>12.250000000000004</v>
      </c>
    </row>
    <row r="9" spans="1:15" x14ac:dyDescent="0.25">
      <c r="A9" s="1">
        <v>47611</v>
      </c>
      <c r="B9">
        <f t="shared" si="0"/>
        <v>8</v>
      </c>
      <c r="C9">
        <f t="shared" si="1"/>
        <v>5</v>
      </c>
      <c r="D9">
        <f t="shared" si="2"/>
        <v>2030</v>
      </c>
      <c r="E9" s="2">
        <f t="shared" si="3"/>
        <v>3</v>
      </c>
      <c r="F9">
        <f t="shared" si="6"/>
        <v>0</v>
      </c>
      <c r="G9">
        <v>1</v>
      </c>
      <c r="H9">
        <f t="shared" si="4"/>
        <v>1</v>
      </c>
      <c r="I9">
        <f t="shared" si="5"/>
        <v>1</v>
      </c>
      <c r="J9">
        <f t="shared" si="7"/>
        <v>7</v>
      </c>
      <c r="K9">
        <f t="shared" si="8"/>
        <v>0</v>
      </c>
      <c r="N9" s="5" t="s">
        <v>16</v>
      </c>
      <c r="O9" s="3">
        <v>29.409999999999986</v>
      </c>
    </row>
    <row r="10" spans="1:15" x14ac:dyDescent="0.25">
      <c r="A10" s="1">
        <v>47612</v>
      </c>
      <c r="B10">
        <f t="shared" si="0"/>
        <v>9</v>
      </c>
      <c r="C10">
        <f t="shared" si="1"/>
        <v>5</v>
      </c>
      <c r="D10">
        <f t="shared" si="2"/>
        <v>2030</v>
      </c>
      <c r="E10" s="2">
        <f t="shared" si="3"/>
        <v>4</v>
      </c>
      <c r="F10">
        <f t="shared" si="6"/>
        <v>0</v>
      </c>
      <c r="G10">
        <v>1</v>
      </c>
      <c r="H10">
        <f t="shared" si="4"/>
        <v>1</v>
      </c>
      <c r="I10">
        <f t="shared" si="5"/>
        <v>1</v>
      </c>
      <c r="J10">
        <f t="shared" si="7"/>
        <v>8</v>
      </c>
      <c r="K10">
        <f t="shared" si="8"/>
        <v>0</v>
      </c>
      <c r="N10" s="5" t="s">
        <v>17</v>
      </c>
      <c r="O10" s="3">
        <v>15.840000000000002</v>
      </c>
    </row>
    <row r="11" spans="1:15" x14ac:dyDescent="0.25">
      <c r="A11" s="1">
        <v>47613</v>
      </c>
      <c r="B11">
        <f t="shared" si="0"/>
        <v>10</v>
      </c>
      <c r="C11">
        <f t="shared" si="1"/>
        <v>5</v>
      </c>
      <c r="D11">
        <f t="shared" si="2"/>
        <v>2030</v>
      </c>
      <c r="E11" s="2">
        <f t="shared" si="3"/>
        <v>5</v>
      </c>
      <c r="F11">
        <f t="shared" si="6"/>
        <v>0</v>
      </c>
      <c r="G11">
        <v>1</v>
      </c>
      <c r="H11">
        <f t="shared" si="4"/>
        <v>1</v>
      </c>
      <c r="I11">
        <f t="shared" si="5"/>
        <v>1</v>
      </c>
      <c r="J11">
        <f t="shared" si="7"/>
        <v>9</v>
      </c>
      <c r="K11">
        <f t="shared" si="8"/>
        <v>0</v>
      </c>
      <c r="N11" s="5" t="s">
        <v>18</v>
      </c>
      <c r="O11" s="3">
        <v>12.750000000000004</v>
      </c>
    </row>
    <row r="12" spans="1:15" x14ac:dyDescent="0.25">
      <c r="A12" s="1">
        <v>47614</v>
      </c>
      <c r="B12">
        <f t="shared" si="0"/>
        <v>11</v>
      </c>
      <c r="C12">
        <f t="shared" si="1"/>
        <v>5</v>
      </c>
      <c r="D12">
        <f t="shared" si="2"/>
        <v>2030</v>
      </c>
      <c r="E12" s="2">
        <f t="shared" si="3"/>
        <v>6</v>
      </c>
      <c r="F12">
        <f t="shared" si="6"/>
        <v>0</v>
      </c>
      <c r="G12">
        <v>1</v>
      </c>
      <c r="H12">
        <f t="shared" si="4"/>
        <v>1</v>
      </c>
      <c r="I12">
        <f t="shared" si="5"/>
        <v>1</v>
      </c>
      <c r="J12">
        <f t="shared" si="7"/>
        <v>10</v>
      </c>
      <c r="K12">
        <f t="shared" si="8"/>
        <v>0</v>
      </c>
      <c r="N12" s="5" t="s">
        <v>19</v>
      </c>
      <c r="O12" s="3">
        <v>12.740000000000004</v>
      </c>
    </row>
    <row r="13" spans="1:15" x14ac:dyDescent="0.25">
      <c r="A13" s="1">
        <v>47615</v>
      </c>
      <c r="B13">
        <f t="shared" si="0"/>
        <v>12</v>
      </c>
      <c r="C13">
        <f t="shared" si="1"/>
        <v>5</v>
      </c>
      <c r="D13">
        <f t="shared" si="2"/>
        <v>2030</v>
      </c>
      <c r="E13" s="2">
        <f t="shared" si="3"/>
        <v>7</v>
      </c>
      <c r="F13">
        <f t="shared" si="6"/>
        <v>0</v>
      </c>
      <c r="G13">
        <v>1</v>
      </c>
      <c r="H13">
        <f t="shared" si="4"/>
        <v>1</v>
      </c>
      <c r="I13">
        <f t="shared" si="5"/>
        <v>0</v>
      </c>
      <c r="J13">
        <f t="shared" si="7"/>
        <v>10</v>
      </c>
      <c r="K13">
        <f t="shared" si="8"/>
        <v>0</v>
      </c>
      <c r="N13" s="5" t="s">
        <v>20</v>
      </c>
      <c r="O13" s="3">
        <v>12.250000000000004</v>
      </c>
    </row>
    <row r="14" spans="1:15" x14ac:dyDescent="0.25">
      <c r="A14" s="1">
        <v>47616</v>
      </c>
      <c r="B14">
        <f t="shared" si="0"/>
        <v>13</v>
      </c>
      <c r="C14">
        <f t="shared" si="1"/>
        <v>5</v>
      </c>
      <c r="D14">
        <f t="shared" si="2"/>
        <v>2030</v>
      </c>
      <c r="E14" s="2">
        <f t="shared" si="3"/>
        <v>1</v>
      </c>
      <c r="F14">
        <f t="shared" si="6"/>
        <v>0</v>
      </c>
      <c r="G14">
        <v>1</v>
      </c>
      <c r="H14">
        <f t="shared" si="4"/>
        <v>1</v>
      </c>
      <c r="I14">
        <f t="shared" si="5"/>
        <v>1</v>
      </c>
      <c r="J14">
        <f t="shared" si="7"/>
        <v>11</v>
      </c>
      <c r="K14">
        <f t="shared" si="8"/>
        <v>0</v>
      </c>
      <c r="N14" s="5" t="s">
        <v>21</v>
      </c>
      <c r="O14" s="3">
        <v>12.740000000000004</v>
      </c>
    </row>
    <row r="15" spans="1:15" x14ac:dyDescent="0.25">
      <c r="A15" s="1">
        <v>47617</v>
      </c>
      <c r="B15">
        <f t="shared" si="0"/>
        <v>14</v>
      </c>
      <c r="C15">
        <f t="shared" si="1"/>
        <v>5</v>
      </c>
      <c r="D15">
        <f t="shared" si="2"/>
        <v>2030</v>
      </c>
      <c r="E15" s="2">
        <f t="shared" si="3"/>
        <v>2</v>
      </c>
      <c r="F15">
        <f t="shared" si="6"/>
        <v>0</v>
      </c>
      <c r="G15">
        <v>1</v>
      </c>
      <c r="H15">
        <f t="shared" si="4"/>
        <v>1</v>
      </c>
      <c r="I15">
        <f t="shared" si="5"/>
        <v>1</v>
      </c>
      <c r="J15">
        <f t="shared" si="7"/>
        <v>12</v>
      </c>
      <c r="K15">
        <f t="shared" si="8"/>
        <v>0</v>
      </c>
      <c r="N15" s="5" t="s">
        <v>22</v>
      </c>
      <c r="O15" s="3">
        <v>12.250000000000004</v>
      </c>
    </row>
    <row r="16" spans="1:15" x14ac:dyDescent="0.25">
      <c r="A16" s="1">
        <v>47618</v>
      </c>
      <c r="B16">
        <f t="shared" si="0"/>
        <v>15</v>
      </c>
      <c r="C16">
        <f t="shared" si="1"/>
        <v>5</v>
      </c>
      <c r="D16">
        <f t="shared" si="2"/>
        <v>2030</v>
      </c>
      <c r="E16">
        <f t="shared" si="3"/>
        <v>3</v>
      </c>
      <c r="F16">
        <f t="shared" si="6"/>
        <v>0</v>
      </c>
      <c r="G16">
        <f>IF(G15&lt;&gt;0,ROUNDUP(G15*0.98,2),ROUNDUP(G14*0.98,2))</f>
        <v>0.98</v>
      </c>
      <c r="H16">
        <f t="shared" si="4"/>
        <v>0.98</v>
      </c>
      <c r="I16">
        <f t="shared" si="5"/>
        <v>0.98</v>
      </c>
      <c r="J16">
        <f t="shared" si="7"/>
        <v>12.98</v>
      </c>
      <c r="K16">
        <f t="shared" si="8"/>
        <v>0</v>
      </c>
      <c r="N16" s="5" t="s">
        <v>23</v>
      </c>
      <c r="O16" s="3">
        <v>12.740000000000004</v>
      </c>
    </row>
    <row r="17" spans="1:15" x14ac:dyDescent="0.25">
      <c r="A17" s="1">
        <v>47619</v>
      </c>
      <c r="B17">
        <f t="shared" si="0"/>
        <v>16</v>
      </c>
      <c r="C17">
        <f t="shared" si="1"/>
        <v>5</v>
      </c>
      <c r="D17">
        <f t="shared" si="2"/>
        <v>2030</v>
      </c>
      <c r="E17">
        <f t="shared" si="3"/>
        <v>4</v>
      </c>
      <c r="F17">
        <f t="shared" si="6"/>
        <v>0</v>
      </c>
      <c r="G17">
        <f t="shared" ref="G17:G80" si="9">IF(G16&lt;&gt;0,ROUNDUP(G16*0.98,2),ROUNDUP(G15*0.98,2))</f>
        <v>0.97</v>
      </c>
      <c r="H17">
        <f t="shared" si="4"/>
        <v>0.97</v>
      </c>
      <c r="I17">
        <f t="shared" si="5"/>
        <v>0.97</v>
      </c>
      <c r="J17">
        <f t="shared" si="7"/>
        <v>13.950000000000001</v>
      </c>
      <c r="K17">
        <f t="shared" si="8"/>
        <v>0</v>
      </c>
      <c r="N17" s="5" t="s">
        <v>11</v>
      </c>
      <c r="O17" s="3">
        <v>169.23000000000002</v>
      </c>
    </row>
    <row r="18" spans="1:15" x14ac:dyDescent="0.25">
      <c r="A18" s="1">
        <v>47620</v>
      </c>
      <c r="B18">
        <f t="shared" si="0"/>
        <v>17</v>
      </c>
      <c r="C18">
        <f t="shared" si="1"/>
        <v>5</v>
      </c>
      <c r="D18">
        <f t="shared" si="2"/>
        <v>2030</v>
      </c>
      <c r="E18">
        <f t="shared" si="3"/>
        <v>5</v>
      </c>
      <c r="F18">
        <f t="shared" si="6"/>
        <v>0</v>
      </c>
      <c r="G18">
        <f t="shared" si="9"/>
        <v>0.96</v>
      </c>
      <c r="H18">
        <f t="shared" si="4"/>
        <v>0.96</v>
      </c>
      <c r="I18">
        <f t="shared" si="5"/>
        <v>0.96</v>
      </c>
      <c r="J18">
        <f t="shared" si="7"/>
        <v>14.91</v>
      </c>
      <c r="K18">
        <f t="shared" si="8"/>
        <v>0</v>
      </c>
    </row>
    <row r="19" spans="1:15" x14ac:dyDescent="0.25">
      <c r="A19" s="1">
        <v>47621</v>
      </c>
      <c r="B19">
        <f t="shared" si="0"/>
        <v>18</v>
      </c>
      <c r="C19">
        <f t="shared" si="1"/>
        <v>5</v>
      </c>
      <c r="D19">
        <f t="shared" si="2"/>
        <v>2030</v>
      </c>
      <c r="E19">
        <f t="shared" si="3"/>
        <v>6</v>
      </c>
      <c r="F19">
        <f t="shared" si="6"/>
        <v>0</v>
      </c>
      <c r="G19">
        <f t="shared" si="9"/>
        <v>0.95</v>
      </c>
      <c r="H19">
        <f t="shared" si="4"/>
        <v>0.95</v>
      </c>
      <c r="I19">
        <f t="shared" si="5"/>
        <v>0.95</v>
      </c>
      <c r="J19">
        <f t="shared" si="7"/>
        <v>15.86</v>
      </c>
      <c r="K19">
        <f t="shared" si="8"/>
        <v>0</v>
      </c>
    </row>
    <row r="20" spans="1:15" x14ac:dyDescent="0.25">
      <c r="A20" s="1">
        <v>47622</v>
      </c>
      <c r="B20">
        <f t="shared" si="0"/>
        <v>19</v>
      </c>
      <c r="C20">
        <f t="shared" si="1"/>
        <v>5</v>
      </c>
      <c r="D20">
        <f t="shared" si="2"/>
        <v>2030</v>
      </c>
      <c r="E20">
        <f t="shared" si="3"/>
        <v>7</v>
      </c>
      <c r="F20">
        <f t="shared" si="6"/>
        <v>0</v>
      </c>
      <c r="G20">
        <f t="shared" si="9"/>
        <v>0.94000000000000006</v>
      </c>
      <c r="H20">
        <f t="shared" si="4"/>
        <v>0.94000000000000006</v>
      </c>
      <c r="I20">
        <f t="shared" si="5"/>
        <v>0</v>
      </c>
      <c r="J20">
        <f t="shared" si="7"/>
        <v>15.86</v>
      </c>
      <c r="K20">
        <f t="shared" si="8"/>
        <v>0</v>
      </c>
    </row>
    <row r="21" spans="1:15" x14ac:dyDescent="0.25">
      <c r="A21" s="1">
        <v>47623</v>
      </c>
      <c r="B21">
        <f t="shared" si="0"/>
        <v>20</v>
      </c>
      <c r="C21">
        <f t="shared" si="1"/>
        <v>5</v>
      </c>
      <c r="D21">
        <f t="shared" si="2"/>
        <v>2030</v>
      </c>
      <c r="E21">
        <f t="shared" si="3"/>
        <v>1</v>
      </c>
      <c r="F21">
        <f t="shared" si="6"/>
        <v>0</v>
      </c>
      <c r="G21">
        <f t="shared" si="9"/>
        <v>0.93</v>
      </c>
      <c r="H21">
        <f t="shared" si="4"/>
        <v>0.93</v>
      </c>
      <c r="I21">
        <f t="shared" si="5"/>
        <v>0.93</v>
      </c>
      <c r="J21">
        <f t="shared" si="7"/>
        <v>16.79</v>
      </c>
      <c r="K21">
        <f t="shared" si="8"/>
        <v>0</v>
      </c>
    </row>
    <row r="22" spans="1:15" x14ac:dyDescent="0.25">
      <c r="A22" s="1">
        <v>47624</v>
      </c>
      <c r="B22">
        <f t="shared" si="0"/>
        <v>21</v>
      </c>
      <c r="C22">
        <f t="shared" si="1"/>
        <v>5</v>
      </c>
      <c r="D22">
        <f t="shared" si="2"/>
        <v>2030</v>
      </c>
      <c r="E22">
        <f t="shared" si="3"/>
        <v>2</v>
      </c>
      <c r="F22">
        <f t="shared" si="6"/>
        <v>0</v>
      </c>
      <c r="G22">
        <f t="shared" si="9"/>
        <v>0.92</v>
      </c>
      <c r="H22">
        <f t="shared" si="4"/>
        <v>0.92</v>
      </c>
      <c r="I22">
        <f t="shared" si="5"/>
        <v>0.92</v>
      </c>
      <c r="J22">
        <f t="shared" si="7"/>
        <v>17.71</v>
      </c>
      <c r="K22">
        <f t="shared" si="8"/>
        <v>0</v>
      </c>
    </row>
    <row r="23" spans="1:15" x14ac:dyDescent="0.25">
      <c r="A23" s="1">
        <v>47625</v>
      </c>
      <c r="B23">
        <f t="shared" si="0"/>
        <v>22</v>
      </c>
      <c r="C23">
        <f t="shared" si="1"/>
        <v>5</v>
      </c>
      <c r="D23">
        <f t="shared" si="2"/>
        <v>2030</v>
      </c>
      <c r="E23">
        <f t="shared" si="3"/>
        <v>3</v>
      </c>
      <c r="F23">
        <f t="shared" si="6"/>
        <v>0</v>
      </c>
      <c r="G23">
        <f t="shared" si="9"/>
        <v>0.91</v>
      </c>
      <c r="H23">
        <f t="shared" si="4"/>
        <v>0.91</v>
      </c>
      <c r="I23">
        <f t="shared" si="5"/>
        <v>0.91</v>
      </c>
      <c r="J23">
        <f t="shared" si="7"/>
        <v>18.62</v>
      </c>
      <c r="K23">
        <f t="shared" si="8"/>
        <v>0</v>
      </c>
    </row>
    <row r="24" spans="1:15" x14ac:dyDescent="0.25">
      <c r="A24" s="1">
        <v>47626</v>
      </c>
      <c r="B24">
        <f t="shared" si="0"/>
        <v>23</v>
      </c>
      <c r="C24">
        <f t="shared" si="1"/>
        <v>5</v>
      </c>
      <c r="D24">
        <f t="shared" si="2"/>
        <v>2030</v>
      </c>
      <c r="E24">
        <f t="shared" si="3"/>
        <v>4</v>
      </c>
      <c r="F24">
        <f t="shared" si="6"/>
        <v>0</v>
      </c>
      <c r="G24">
        <f t="shared" si="9"/>
        <v>0.9</v>
      </c>
      <c r="H24">
        <f t="shared" si="4"/>
        <v>0.9</v>
      </c>
      <c r="I24">
        <f t="shared" si="5"/>
        <v>0.9</v>
      </c>
      <c r="J24">
        <f t="shared" si="7"/>
        <v>19.52</v>
      </c>
      <c r="K24">
        <f t="shared" si="8"/>
        <v>0</v>
      </c>
    </row>
    <row r="25" spans="1:15" x14ac:dyDescent="0.25">
      <c r="A25" s="1">
        <v>47627</v>
      </c>
      <c r="B25">
        <f t="shared" si="0"/>
        <v>24</v>
      </c>
      <c r="C25">
        <f t="shared" si="1"/>
        <v>5</v>
      </c>
      <c r="D25">
        <f t="shared" si="2"/>
        <v>2030</v>
      </c>
      <c r="E25">
        <f t="shared" si="3"/>
        <v>5</v>
      </c>
      <c r="F25">
        <f t="shared" si="6"/>
        <v>0</v>
      </c>
      <c r="G25">
        <f t="shared" si="9"/>
        <v>0.89</v>
      </c>
      <c r="H25">
        <f t="shared" si="4"/>
        <v>0.89</v>
      </c>
      <c r="I25">
        <f t="shared" si="5"/>
        <v>0.89</v>
      </c>
      <c r="J25">
        <f t="shared" si="7"/>
        <v>20.41</v>
      </c>
      <c r="K25">
        <f t="shared" si="8"/>
        <v>0</v>
      </c>
    </row>
    <row r="26" spans="1:15" x14ac:dyDescent="0.25">
      <c r="A26" s="1">
        <v>47628</v>
      </c>
      <c r="B26">
        <f t="shared" si="0"/>
        <v>25</v>
      </c>
      <c r="C26">
        <f t="shared" si="1"/>
        <v>5</v>
      </c>
      <c r="D26">
        <f t="shared" si="2"/>
        <v>2030</v>
      </c>
      <c r="E26">
        <f t="shared" si="3"/>
        <v>6</v>
      </c>
      <c r="F26">
        <f t="shared" si="6"/>
        <v>0</v>
      </c>
      <c r="G26">
        <f t="shared" si="9"/>
        <v>0.88</v>
      </c>
      <c r="H26">
        <f t="shared" si="4"/>
        <v>0.88</v>
      </c>
      <c r="I26">
        <f t="shared" si="5"/>
        <v>0.88</v>
      </c>
      <c r="J26">
        <f t="shared" si="7"/>
        <v>21.29</v>
      </c>
      <c r="K26">
        <f t="shared" si="8"/>
        <v>0</v>
      </c>
    </row>
    <row r="27" spans="1:15" x14ac:dyDescent="0.25">
      <c r="A27" s="1">
        <v>47629</v>
      </c>
      <c r="B27">
        <f t="shared" si="0"/>
        <v>26</v>
      </c>
      <c r="C27">
        <f t="shared" si="1"/>
        <v>5</v>
      </c>
      <c r="D27">
        <f t="shared" si="2"/>
        <v>2030</v>
      </c>
      <c r="E27">
        <f t="shared" si="3"/>
        <v>7</v>
      </c>
      <c r="F27">
        <f t="shared" si="6"/>
        <v>0</v>
      </c>
      <c r="G27">
        <f t="shared" si="9"/>
        <v>0.87</v>
      </c>
      <c r="H27">
        <f t="shared" si="4"/>
        <v>0.87</v>
      </c>
      <c r="I27">
        <f t="shared" si="5"/>
        <v>0</v>
      </c>
      <c r="J27">
        <f t="shared" si="7"/>
        <v>21.29</v>
      </c>
      <c r="K27">
        <f t="shared" si="8"/>
        <v>0</v>
      </c>
    </row>
    <row r="28" spans="1:15" x14ac:dyDescent="0.25">
      <c r="A28" s="1">
        <v>47630</v>
      </c>
      <c r="B28">
        <f t="shared" si="0"/>
        <v>27</v>
      </c>
      <c r="C28">
        <f t="shared" si="1"/>
        <v>5</v>
      </c>
      <c r="D28">
        <f t="shared" si="2"/>
        <v>2030</v>
      </c>
      <c r="E28">
        <f t="shared" si="3"/>
        <v>1</v>
      </c>
      <c r="F28">
        <f t="shared" si="6"/>
        <v>0</v>
      </c>
      <c r="G28">
        <f t="shared" si="9"/>
        <v>0.86</v>
      </c>
      <c r="H28">
        <f t="shared" si="4"/>
        <v>0.86</v>
      </c>
      <c r="I28">
        <f t="shared" si="5"/>
        <v>0.86</v>
      </c>
      <c r="J28">
        <f t="shared" si="7"/>
        <v>22.15</v>
      </c>
      <c r="K28">
        <f t="shared" si="8"/>
        <v>0</v>
      </c>
    </row>
    <row r="29" spans="1:15" x14ac:dyDescent="0.25">
      <c r="A29" s="1">
        <v>47631</v>
      </c>
      <c r="B29">
        <f t="shared" si="0"/>
        <v>28</v>
      </c>
      <c r="C29">
        <f t="shared" si="1"/>
        <v>5</v>
      </c>
      <c r="D29">
        <f t="shared" si="2"/>
        <v>2030</v>
      </c>
      <c r="E29">
        <f t="shared" si="3"/>
        <v>2</v>
      </c>
      <c r="F29">
        <f t="shared" si="6"/>
        <v>0</v>
      </c>
      <c r="G29">
        <f t="shared" si="9"/>
        <v>0.85</v>
      </c>
      <c r="H29">
        <f t="shared" si="4"/>
        <v>0.85</v>
      </c>
      <c r="I29">
        <f t="shared" si="5"/>
        <v>0.85</v>
      </c>
      <c r="J29">
        <f t="shared" si="7"/>
        <v>23</v>
      </c>
      <c r="K29">
        <f t="shared" si="8"/>
        <v>0</v>
      </c>
    </row>
    <row r="30" spans="1:15" x14ac:dyDescent="0.25">
      <c r="A30" s="1">
        <v>47632</v>
      </c>
      <c r="B30">
        <f t="shared" si="0"/>
        <v>29</v>
      </c>
      <c r="C30">
        <f t="shared" si="1"/>
        <v>5</v>
      </c>
      <c r="D30">
        <f t="shared" si="2"/>
        <v>2030</v>
      </c>
      <c r="E30">
        <f t="shared" si="3"/>
        <v>3</v>
      </c>
      <c r="F30">
        <f t="shared" si="6"/>
        <v>0</v>
      </c>
      <c r="G30">
        <f t="shared" si="9"/>
        <v>0.84</v>
      </c>
      <c r="H30">
        <f t="shared" si="4"/>
        <v>0.84</v>
      </c>
      <c r="I30">
        <f t="shared" si="5"/>
        <v>0.84</v>
      </c>
      <c r="J30">
        <f t="shared" si="7"/>
        <v>23.84</v>
      </c>
      <c r="K30">
        <f t="shared" si="8"/>
        <v>0</v>
      </c>
    </row>
    <row r="31" spans="1:15" x14ac:dyDescent="0.25">
      <c r="A31" s="1">
        <v>47633</v>
      </c>
      <c r="B31">
        <f t="shared" si="0"/>
        <v>30</v>
      </c>
      <c r="C31">
        <f t="shared" si="1"/>
        <v>5</v>
      </c>
      <c r="D31">
        <f t="shared" si="2"/>
        <v>2030</v>
      </c>
      <c r="E31">
        <f t="shared" si="3"/>
        <v>4</v>
      </c>
      <c r="F31">
        <f t="shared" si="6"/>
        <v>0</v>
      </c>
      <c r="G31">
        <f t="shared" si="9"/>
        <v>0.83</v>
      </c>
      <c r="H31">
        <f t="shared" si="4"/>
        <v>0.83</v>
      </c>
      <c r="I31">
        <f t="shared" si="5"/>
        <v>0.83</v>
      </c>
      <c r="J31">
        <f t="shared" si="7"/>
        <v>24.669999999999998</v>
      </c>
      <c r="K31">
        <f t="shared" si="8"/>
        <v>0</v>
      </c>
    </row>
    <row r="32" spans="1:15" x14ac:dyDescent="0.25">
      <c r="A32" s="1">
        <v>47634</v>
      </c>
      <c r="B32">
        <f t="shared" si="0"/>
        <v>31</v>
      </c>
      <c r="C32">
        <f t="shared" si="1"/>
        <v>5</v>
      </c>
      <c r="D32">
        <f t="shared" si="2"/>
        <v>2030</v>
      </c>
      <c r="E32">
        <f t="shared" si="3"/>
        <v>5</v>
      </c>
      <c r="F32">
        <f t="shared" si="6"/>
        <v>0</v>
      </c>
      <c r="G32">
        <f t="shared" si="9"/>
        <v>0.82000000000000006</v>
      </c>
      <c r="H32">
        <f t="shared" si="4"/>
        <v>0.82000000000000006</v>
      </c>
      <c r="I32">
        <f t="shared" si="5"/>
        <v>0.82000000000000006</v>
      </c>
      <c r="J32">
        <f t="shared" si="7"/>
        <v>25.49</v>
      </c>
      <c r="K32">
        <f t="shared" si="8"/>
        <v>0</v>
      </c>
    </row>
    <row r="33" spans="1:11" x14ac:dyDescent="0.25">
      <c r="A33" s="1">
        <v>47635</v>
      </c>
      <c r="B33">
        <f t="shared" si="0"/>
        <v>1</v>
      </c>
      <c r="C33">
        <f t="shared" si="1"/>
        <v>6</v>
      </c>
      <c r="D33">
        <f t="shared" si="2"/>
        <v>2030</v>
      </c>
      <c r="E33">
        <f t="shared" si="3"/>
        <v>6</v>
      </c>
      <c r="F33">
        <f t="shared" si="6"/>
        <v>1</v>
      </c>
      <c r="G33">
        <f t="shared" si="9"/>
        <v>0.81</v>
      </c>
      <c r="H33">
        <f t="shared" si="4"/>
        <v>0.93149999999999999</v>
      </c>
      <c r="I33">
        <f t="shared" si="5"/>
        <v>0</v>
      </c>
      <c r="J33">
        <f t="shared" si="7"/>
        <v>25.49</v>
      </c>
      <c r="K33">
        <f t="shared" si="8"/>
        <v>0</v>
      </c>
    </row>
    <row r="34" spans="1:11" x14ac:dyDescent="0.25">
      <c r="A34" s="1">
        <v>47636</v>
      </c>
      <c r="B34">
        <f t="shared" si="0"/>
        <v>2</v>
      </c>
      <c r="C34">
        <f t="shared" si="1"/>
        <v>6</v>
      </c>
      <c r="D34">
        <f t="shared" si="2"/>
        <v>2030</v>
      </c>
      <c r="E34">
        <f t="shared" si="3"/>
        <v>7</v>
      </c>
      <c r="F34">
        <f t="shared" si="6"/>
        <v>0</v>
      </c>
      <c r="G34">
        <f t="shared" si="9"/>
        <v>0.8</v>
      </c>
      <c r="H34">
        <f t="shared" si="4"/>
        <v>0.8</v>
      </c>
      <c r="I34">
        <f t="shared" si="5"/>
        <v>0</v>
      </c>
      <c r="J34">
        <f t="shared" si="7"/>
        <v>25.49</v>
      </c>
      <c r="K34">
        <f t="shared" si="8"/>
        <v>1</v>
      </c>
    </row>
    <row r="35" spans="1:11" x14ac:dyDescent="0.25">
      <c r="A35" s="1">
        <v>47637</v>
      </c>
      <c r="B35">
        <f t="shared" si="0"/>
        <v>3</v>
      </c>
      <c r="C35">
        <f t="shared" si="1"/>
        <v>6</v>
      </c>
      <c r="D35">
        <f t="shared" si="2"/>
        <v>2030</v>
      </c>
      <c r="E35">
        <f t="shared" si="3"/>
        <v>1</v>
      </c>
      <c r="F35">
        <f t="shared" si="6"/>
        <v>0</v>
      </c>
      <c r="G35">
        <f t="shared" si="9"/>
        <v>0.79</v>
      </c>
      <c r="H35">
        <f t="shared" si="4"/>
        <v>0.79</v>
      </c>
      <c r="I35">
        <f t="shared" si="5"/>
        <v>0.79</v>
      </c>
      <c r="J35">
        <f t="shared" si="7"/>
        <v>26.279999999999998</v>
      </c>
      <c r="K35">
        <f t="shared" si="8"/>
        <v>0</v>
      </c>
    </row>
    <row r="36" spans="1:11" x14ac:dyDescent="0.25">
      <c r="A36" s="1">
        <v>47638</v>
      </c>
      <c r="B36">
        <f t="shared" si="0"/>
        <v>4</v>
      </c>
      <c r="C36">
        <f t="shared" si="1"/>
        <v>6</v>
      </c>
      <c r="D36">
        <f t="shared" si="2"/>
        <v>2030</v>
      </c>
      <c r="E36">
        <f t="shared" si="3"/>
        <v>2</v>
      </c>
      <c r="F36">
        <f t="shared" si="6"/>
        <v>0</v>
      </c>
      <c r="G36">
        <f t="shared" si="9"/>
        <v>0.78</v>
      </c>
      <c r="H36">
        <f t="shared" si="4"/>
        <v>0.78</v>
      </c>
      <c r="I36">
        <f t="shared" si="5"/>
        <v>0.78</v>
      </c>
      <c r="J36">
        <f t="shared" si="7"/>
        <v>27.06</v>
      </c>
      <c r="K36">
        <f t="shared" si="8"/>
        <v>0</v>
      </c>
    </row>
    <row r="37" spans="1:11" x14ac:dyDescent="0.25">
      <c r="A37" s="1">
        <v>47639</v>
      </c>
      <c r="B37">
        <f t="shared" si="0"/>
        <v>5</v>
      </c>
      <c r="C37">
        <f t="shared" si="1"/>
        <v>6</v>
      </c>
      <c r="D37">
        <f t="shared" si="2"/>
        <v>2030</v>
      </c>
      <c r="E37">
        <f t="shared" si="3"/>
        <v>3</v>
      </c>
      <c r="F37">
        <f t="shared" si="6"/>
        <v>0</v>
      </c>
      <c r="G37">
        <f t="shared" si="9"/>
        <v>0.77</v>
      </c>
      <c r="H37">
        <f t="shared" si="4"/>
        <v>0.77</v>
      </c>
      <c r="I37">
        <f t="shared" si="5"/>
        <v>0.77</v>
      </c>
      <c r="J37">
        <f t="shared" si="7"/>
        <v>27.83</v>
      </c>
      <c r="K37">
        <f t="shared" si="8"/>
        <v>0</v>
      </c>
    </row>
    <row r="38" spans="1:11" x14ac:dyDescent="0.25">
      <c r="A38" s="1">
        <v>47640</v>
      </c>
      <c r="B38">
        <f t="shared" si="0"/>
        <v>6</v>
      </c>
      <c r="C38">
        <f t="shared" si="1"/>
        <v>6</v>
      </c>
      <c r="D38">
        <f t="shared" si="2"/>
        <v>2030</v>
      </c>
      <c r="E38">
        <f t="shared" si="3"/>
        <v>4</v>
      </c>
      <c r="F38">
        <f t="shared" si="6"/>
        <v>0</v>
      </c>
      <c r="G38">
        <f t="shared" si="9"/>
        <v>0.76</v>
      </c>
      <c r="H38">
        <f t="shared" si="4"/>
        <v>0.76</v>
      </c>
      <c r="I38">
        <f t="shared" si="5"/>
        <v>0.76</v>
      </c>
      <c r="J38">
        <f t="shared" si="7"/>
        <v>28.59</v>
      </c>
      <c r="K38">
        <f t="shared" si="8"/>
        <v>0</v>
      </c>
    </row>
    <row r="39" spans="1:11" x14ac:dyDescent="0.25">
      <c r="A39" s="1">
        <v>47641</v>
      </c>
      <c r="B39">
        <f t="shared" si="0"/>
        <v>7</v>
      </c>
      <c r="C39">
        <f t="shared" si="1"/>
        <v>6</v>
      </c>
      <c r="D39">
        <f t="shared" si="2"/>
        <v>2030</v>
      </c>
      <c r="E39">
        <f t="shared" si="3"/>
        <v>5</v>
      </c>
      <c r="F39">
        <f t="shared" si="6"/>
        <v>0</v>
      </c>
      <c r="G39">
        <f t="shared" si="9"/>
        <v>0.75</v>
      </c>
      <c r="H39">
        <f t="shared" si="4"/>
        <v>0.75</v>
      </c>
      <c r="I39">
        <f t="shared" si="5"/>
        <v>0.75</v>
      </c>
      <c r="J39">
        <f t="shared" si="7"/>
        <v>29.34</v>
      </c>
      <c r="K39">
        <f t="shared" si="8"/>
        <v>0</v>
      </c>
    </row>
    <row r="40" spans="1:11" x14ac:dyDescent="0.25">
      <c r="A40" s="1">
        <v>47642</v>
      </c>
      <c r="B40">
        <f t="shared" si="0"/>
        <v>8</v>
      </c>
      <c r="C40">
        <f t="shared" si="1"/>
        <v>6</v>
      </c>
      <c r="D40">
        <f t="shared" si="2"/>
        <v>2030</v>
      </c>
      <c r="E40">
        <f t="shared" si="3"/>
        <v>6</v>
      </c>
      <c r="F40">
        <f t="shared" si="6"/>
        <v>0</v>
      </c>
      <c r="G40">
        <f t="shared" si="9"/>
        <v>0.74</v>
      </c>
      <c r="H40">
        <f t="shared" si="4"/>
        <v>0.74</v>
      </c>
      <c r="I40">
        <f t="shared" si="5"/>
        <v>0.74</v>
      </c>
      <c r="J40">
        <f t="shared" si="7"/>
        <v>30.08</v>
      </c>
      <c r="K40">
        <f t="shared" si="8"/>
        <v>0</v>
      </c>
    </row>
    <row r="41" spans="1:11" x14ac:dyDescent="0.25">
      <c r="A41" s="1">
        <v>47643</v>
      </c>
      <c r="B41">
        <f t="shared" si="0"/>
        <v>9</v>
      </c>
      <c r="C41">
        <f t="shared" si="1"/>
        <v>6</v>
      </c>
      <c r="D41">
        <f t="shared" si="2"/>
        <v>2030</v>
      </c>
      <c r="E41">
        <f t="shared" si="3"/>
        <v>7</v>
      </c>
      <c r="F41">
        <f t="shared" si="6"/>
        <v>0</v>
      </c>
      <c r="G41">
        <f t="shared" si="9"/>
        <v>0.73</v>
      </c>
      <c r="H41">
        <f t="shared" si="4"/>
        <v>0.73</v>
      </c>
      <c r="I41">
        <f t="shared" si="5"/>
        <v>0</v>
      </c>
      <c r="J41">
        <f t="shared" si="7"/>
        <v>30.08</v>
      </c>
      <c r="K41">
        <f t="shared" si="8"/>
        <v>0</v>
      </c>
    </row>
    <row r="42" spans="1:11" x14ac:dyDescent="0.25">
      <c r="A42" s="1">
        <v>47644</v>
      </c>
      <c r="B42">
        <f t="shared" si="0"/>
        <v>10</v>
      </c>
      <c r="C42">
        <f t="shared" si="1"/>
        <v>6</v>
      </c>
      <c r="D42">
        <f t="shared" si="2"/>
        <v>2030</v>
      </c>
      <c r="E42">
        <f t="shared" si="3"/>
        <v>1</v>
      </c>
      <c r="F42">
        <f t="shared" si="6"/>
        <v>0</v>
      </c>
      <c r="G42">
        <f t="shared" si="9"/>
        <v>0.72</v>
      </c>
      <c r="H42">
        <f t="shared" si="4"/>
        <v>0.72</v>
      </c>
      <c r="I42">
        <f t="shared" si="5"/>
        <v>0.72</v>
      </c>
      <c r="J42">
        <f t="shared" si="7"/>
        <v>30.799999999999997</v>
      </c>
      <c r="K42">
        <f t="shared" si="8"/>
        <v>0</v>
      </c>
    </row>
    <row r="43" spans="1:11" x14ac:dyDescent="0.25">
      <c r="A43" s="1">
        <v>47645</v>
      </c>
      <c r="B43">
        <f t="shared" si="0"/>
        <v>11</v>
      </c>
      <c r="C43">
        <f t="shared" si="1"/>
        <v>6</v>
      </c>
      <c r="D43">
        <f t="shared" si="2"/>
        <v>2030</v>
      </c>
      <c r="E43">
        <f t="shared" si="3"/>
        <v>2</v>
      </c>
      <c r="F43">
        <f t="shared" si="6"/>
        <v>0</v>
      </c>
      <c r="G43">
        <f t="shared" si="9"/>
        <v>0.71</v>
      </c>
      <c r="H43">
        <f t="shared" si="4"/>
        <v>0.71</v>
      </c>
      <c r="I43">
        <f t="shared" si="5"/>
        <v>0.71</v>
      </c>
      <c r="J43">
        <f t="shared" si="7"/>
        <v>31.509999999999998</v>
      </c>
      <c r="K43">
        <f t="shared" si="8"/>
        <v>0</v>
      </c>
    </row>
    <row r="44" spans="1:11" x14ac:dyDescent="0.25">
      <c r="A44" s="1">
        <v>47646</v>
      </c>
      <c r="B44">
        <f t="shared" si="0"/>
        <v>12</v>
      </c>
      <c r="C44">
        <f t="shared" si="1"/>
        <v>6</v>
      </c>
      <c r="D44">
        <f t="shared" si="2"/>
        <v>2030</v>
      </c>
      <c r="E44">
        <f t="shared" si="3"/>
        <v>3</v>
      </c>
      <c r="F44">
        <f t="shared" si="6"/>
        <v>0</v>
      </c>
      <c r="G44">
        <f t="shared" si="9"/>
        <v>0.7</v>
      </c>
      <c r="H44">
        <f t="shared" si="4"/>
        <v>0.7</v>
      </c>
      <c r="I44">
        <f t="shared" si="5"/>
        <v>0.7</v>
      </c>
      <c r="J44">
        <f t="shared" si="7"/>
        <v>32.21</v>
      </c>
      <c r="K44">
        <f t="shared" si="8"/>
        <v>0</v>
      </c>
    </row>
    <row r="45" spans="1:11" x14ac:dyDescent="0.25">
      <c r="A45" s="1">
        <v>47647</v>
      </c>
      <c r="B45">
        <f t="shared" si="0"/>
        <v>13</v>
      </c>
      <c r="C45">
        <f t="shared" si="1"/>
        <v>6</v>
      </c>
      <c r="D45">
        <f t="shared" si="2"/>
        <v>2030</v>
      </c>
      <c r="E45">
        <f t="shared" si="3"/>
        <v>4</v>
      </c>
      <c r="F45">
        <f t="shared" si="6"/>
        <v>0</v>
      </c>
      <c r="G45">
        <f t="shared" si="9"/>
        <v>0.69000000000000006</v>
      </c>
      <c r="H45">
        <f t="shared" si="4"/>
        <v>0.69000000000000006</v>
      </c>
      <c r="I45">
        <f t="shared" si="5"/>
        <v>0.69000000000000006</v>
      </c>
      <c r="J45">
        <f t="shared" si="7"/>
        <v>32.9</v>
      </c>
      <c r="K45">
        <f t="shared" si="8"/>
        <v>0</v>
      </c>
    </row>
    <row r="46" spans="1:11" x14ac:dyDescent="0.25">
      <c r="A46" s="1">
        <v>47648</v>
      </c>
      <c r="B46">
        <f t="shared" si="0"/>
        <v>14</v>
      </c>
      <c r="C46">
        <f t="shared" si="1"/>
        <v>6</v>
      </c>
      <c r="D46">
        <f t="shared" si="2"/>
        <v>2030</v>
      </c>
      <c r="E46">
        <f t="shared" si="3"/>
        <v>5</v>
      </c>
      <c r="F46">
        <f t="shared" si="6"/>
        <v>0</v>
      </c>
      <c r="G46">
        <f t="shared" si="9"/>
        <v>0.68</v>
      </c>
      <c r="H46">
        <f t="shared" si="4"/>
        <v>0.68</v>
      </c>
      <c r="I46">
        <f t="shared" si="5"/>
        <v>0.68</v>
      </c>
      <c r="J46">
        <f t="shared" si="7"/>
        <v>33.58</v>
      </c>
      <c r="K46">
        <f t="shared" si="8"/>
        <v>0</v>
      </c>
    </row>
    <row r="47" spans="1:11" x14ac:dyDescent="0.25">
      <c r="A47" s="1">
        <v>47649</v>
      </c>
      <c r="B47">
        <f t="shared" si="0"/>
        <v>15</v>
      </c>
      <c r="C47">
        <f t="shared" si="1"/>
        <v>6</v>
      </c>
      <c r="D47">
        <f t="shared" si="2"/>
        <v>2030</v>
      </c>
      <c r="E47">
        <f t="shared" si="3"/>
        <v>6</v>
      </c>
      <c r="F47">
        <f t="shared" si="6"/>
        <v>0</v>
      </c>
      <c r="G47">
        <f t="shared" si="9"/>
        <v>0.67</v>
      </c>
      <c r="H47">
        <f t="shared" si="4"/>
        <v>0.67</v>
      </c>
      <c r="I47">
        <f t="shared" si="5"/>
        <v>0.67</v>
      </c>
      <c r="J47">
        <f t="shared" si="7"/>
        <v>34.25</v>
      </c>
      <c r="K47">
        <f t="shared" si="8"/>
        <v>0</v>
      </c>
    </row>
    <row r="48" spans="1:11" x14ac:dyDescent="0.25">
      <c r="A48" s="1">
        <v>47650</v>
      </c>
      <c r="B48">
        <f t="shared" si="0"/>
        <v>16</v>
      </c>
      <c r="C48">
        <f t="shared" si="1"/>
        <v>6</v>
      </c>
      <c r="D48">
        <f t="shared" si="2"/>
        <v>2030</v>
      </c>
      <c r="E48">
        <f t="shared" si="3"/>
        <v>7</v>
      </c>
      <c r="F48">
        <f t="shared" si="6"/>
        <v>0</v>
      </c>
      <c r="G48">
        <f t="shared" si="9"/>
        <v>0.66</v>
      </c>
      <c r="H48">
        <f t="shared" si="4"/>
        <v>0.66</v>
      </c>
      <c r="I48">
        <f t="shared" si="5"/>
        <v>0</v>
      </c>
      <c r="J48">
        <f t="shared" si="7"/>
        <v>34.25</v>
      </c>
      <c r="K48">
        <f t="shared" si="8"/>
        <v>0</v>
      </c>
    </row>
    <row r="49" spans="1:11" x14ac:dyDescent="0.25">
      <c r="A49" s="1">
        <v>47651</v>
      </c>
      <c r="B49">
        <f t="shared" si="0"/>
        <v>17</v>
      </c>
      <c r="C49">
        <f t="shared" si="1"/>
        <v>6</v>
      </c>
      <c r="D49">
        <f t="shared" si="2"/>
        <v>2030</v>
      </c>
      <c r="E49">
        <f t="shared" si="3"/>
        <v>1</v>
      </c>
      <c r="F49">
        <f t="shared" si="6"/>
        <v>0</v>
      </c>
      <c r="G49">
        <f t="shared" si="9"/>
        <v>0.65</v>
      </c>
      <c r="H49">
        <f t="shared" si="4"/>
        <v>0.65</v>
      </c>
      <c r="I49">
        <f t="shared" si="5"/>
        <v>0.65</v>
      </c>
      <c r="J49">
        <f t="shared" si="7"/>
        <v>34.9</v>
      </c>
      <c r="K49">
        <f t="shared" si="8"/>
        <v>0</v>
      </c>
    </row>
    <row r="50" spans="1:11" x14ac:dyDescent="0.25">
      <c r="A50" s="1">
        <v>47652</v>
      </c>
      <c r="B50">
        <f t="shared" si="0"/>
        <v>18</v>
      </c>
      <c r="C50">
        <f t="shared" si="1"/>
        <v>6</v>
      </c>
      <c r="D50">
        <f t="shared" si="2"/>
        <v>2030</v>
      </c>
      <c r="E50">
        <f t="shared" si="3"/>
        <v>2</v>
      </c>
      <c r="F50">
        <f t="shared" si="6"/>
        <v>0</v>
      </c>
      <c r="G50">
        <f t="shared" si="9"/>
        <v>0.64</v>
      </c>
      <c r="H50">
        <f t="shared" si="4"/>
        <v>0.64</v>
      </c>
      <c r="I50">
        <f t="shared" si="5"/>
        <v>0.64</v>
      </c>
      <c r="J50">
        <f t="shared" si="7"/>
        <v>35.54</v>
      </c>
      <c r="K50">
        <f t="shared" si="8"/>
        <v>0</v>
      </c>
    </row>
    <row r="51" spans="1:11" x14ac:dyDescent="0.25">
      <c r="A51" s="1">
        <v>47653</v>
      </c>
      <c r="B51">
        <f t="shared" si="0"/>
        <v>19</v>
      </c>
      <c r="C51">
        <f t="shared" si="1"/>
        <v>6</v>
      </c>
      <c r="D51">
        <f t="shared" si="2"/>
        <v>2030</v>
      </c>
      <c r="E51">
        <f t="shared" si="3"/>
        <v>3</v>
      </c>
      <c r="F51">
        <f t="shared" si="6"/>
        <v>0</v>
      </c>
      <c r="G51">
        <f t="shared" si="9"/>
        <v>0.63</v>
      </c>
      <c r="H51">
        <f t="shared" si="4"/>
        <v>0.63</v>
      </c>
      <c r="I51">
        <f t="shared" si="5"/>
        <v>0.63</v>
      </c>
      <c r="J51">
        <f t="shared" si="7"/>
        <v>36.17</v>
      </c>
      <c r="K51">
        <f t="shared" si="8"/>
        <v>0</v>
      </c>
    </row>
    <row r="52" spans="1:11" x14ac:dyDescent="0.25">
      <c r="A52" s="1">
        <v>47654</v>
      </c>
      <c r="B52">
        <f t="shared" si="0"/>
        <v>20</v>
      </c>
      <c r="C52">
        <f t="shared" si="1"/>
        <v>6</v>
      </c>
      <c r="D52">
        <f t="shared" si="2"/>
        <v>2030</v>
      </c>
      <c r="E52">
        <f t="shared" si="3"/>
        <v>4</v>
      </c>
      <c r="F52">
        <f t="shared" si="6"/>
        <v>0</v>
      </c>
      <c r="G52">
        <f t="shared" si="9"/>
        <v>0.62</v>
      </c>
      <c r="H52">
        <f t="shared" si="4"/>
        <v>0.62</v>
      </c>
      <c r="I52">
        <f t="shared" si="5"/>
        <v>0.62</v>
      </c>
      <c r="J52">
        <f t="shared" si="7"/>
        <v>36.79</v>
      </c>
      <c r="K52">
        <f t="shared" si="8"/>
        <v>0</v>
      </c>
    </row>
    <row r="53" spans="1:11" x14ac:dyDescent="0.25">
      <c r="A53" s="1">
        <v>47655</v>
      </c>
      <c r="B53">
        <f t="shared" si="0"/>
        <v>21</v>
      </c>
      <c r="C53">
        <f t="shared" si="1"/>
        <v>6</v>
      </c>
      <c r="D53">
        <f t="shared" si="2"/>
        <v>2030</v>
      </c>
      <c r="E53">
        <f t="shared" si="3"/>
        <v>5</v>
      </c>
      <c r="F53">
        <f t="shared" si="6"/>
        <v>0</v>
      </c>
      <c r="G53">
        <f t="shared" si="9"/>
        <v>0.61</v>
      </c>
      <c r="H53">
        <f t="shared" si="4"/>
        <v>0.61</v>
      </c>
      <c r="I53">
        <f t="shared" si="5"/>
        <v>0.61</v>
      </c>
      <c r="J53">
        <f t="shared" si="7"/>
        <v>37.4</v>
      </c>
      <c r="K53">
        <f t="shared" si="8"/>
        <v>0</v>
      </c>
    </row>
    <row r="54" spans="1:11" x14ac:dyDescent="0.25">
      <c r="A54" s="1">
        <v>47656</v>
      </c>
      <c r="B54">
        <f t="shared" si="0"/>
        <v>22</v>
      </c>
      <c r="C54">
        <f t="shared" si="1"/>
        <v>6</v>
      </c>
      <c r="D54">
        <f t="shared" si="2"/>
        <v>2030</v>
      </c>
      <c r="E54">
        <f t="shared" si="3"/>
        <v>6</v>
      </c>
      <c r="F54">
        <f t="shared" si="6"/>
        <v>0</v>
      </c>
      <c r="G54">
        <f t="shared" si="9"/>
        <v>0.6</v>
      </c>
      <c r="H54">
        <f t="shared" si="4"/>
        <v>0.6</v>
      </c>
      <c r="I54">
        <f t="shared" si="5"/>
        <v>0.6</v>
      </c>
      <c r="J54">
        <f t="shared" si="7"/>
        <v>38</v>
      </c>
      <c r="K54">
        <f t="shared" si="8"/>
        <v>0</v>
      </c>
    </row>
    <row r="55" spans="1:11" x14ac:dyDescent="0.25">
      <c r="A55" s="1">
        <v>47657</v>
      </c>
      <c r="B55">
        <f t="shared" si="0"/>
        <v>23</v>
      </c>
      <c r="C55">
        <f t="shared" si="1"/>
        <v>6</v>
      </c>
      <c r="D55">
        <f t="shared" si="2"/>
        <v>2030</v>
      </c>
      <c r="E55">
        <f t="shared" si="3"/>
        <v>7</v>
      </c>
      <c r="F55">
        <f t="shared" si="6"/>
        <v>0</v>
      </c>
      <c r="G55">
        <f t="shared" si="9"/>
        <v>0.59</v>
      </c>
      <c r="H55">
        <f t="shared" si="4"/>
        <v>0.59</v>
      </c>
      <c r="I55">
        <f t="shared" si="5"/>
        <v>0</v>
      </c>
      <c r="J55">
        <f t="shared" si="7"/>
        <v>38</v>
      </c>
      <c r="K55">
        <f t="shared" si="8"/>
        <v>0</v>
      </c>
    </row>
    <row r="56" spans="1:11" x14ac:dyDescent="0.25">
      <c r="A56" s="1">
        <v>47658</v>
      </c>
      <c r="B56">
        <f t="shared" si="0"/>
        <v>24</v>
      </c>
      <c r="C56">
        <f t="shared" si="1"/>
        <v>6</v>
      </c>
      <c r="D56">
        <f t="shared" si="2"/>
        <v>2030</v>
      </c>
      <c r="E56">
        <f t="shared" si="3"/>
        <v>1</v>
      </c>
      <c r="F56">
        <f t="shared" si="6"/>
        <v>0</v>
      </c>
      <c r="G56">
        <f t="shared" si="9"/>
        <v>0.57999999999999996</v>
      </c>
      <c r="H56">
        <f t="shared" si="4"/>
        <v>0.57999999999999996</v>
      </c>
      <c r="I56">
        <f t="shared" si="5"/>
        <v>0.57999999999999996</v>
      </c>
      <c r="J56">
        <f t="shared" si="7"/>
        <v>38.58</v>
      </c>
      <c r="K56">
        <f t="shared" si="8"/>
        <v>0</v>
      </c>
    </row>
    <row r="57" spans="1:11" x14ac:dyDescent="0.25">
      <c r="A57" s="1">
        <v>47659</v>
      </c>
      <c r="B57">
        <f t="shared" si="0"/>
        <v>25</v>
      </c>
      <c r="C57">
        <f t="shared" si="1"/>
        <v>6</v>
      </c>
      <c r="D57">
        <f t="shared" si="2"/>
        <v>2030</v>
      </c>
      <c r="E57">
        <f t="shared" si="3"/>
        <v>2</v>
      </c>
      <c r="F57">
        <f t="shared" si="6"/>
        <v>0</v>
      </c>
      <c r="G57">
        <f t="shared" si="9"/>
        <v>0.57000000000000006</v>
      </c>
      <c r="H57">
        <f t="shared" si="4"/>
        <v>0.57000000000000006</v>
      </c>
      <c r="I57">
        <f t="shared" si="5"/>
        <v>0.57000000000000006</v>
      </c>
      <c r="J57">
        <f t="shared" si="7"/>
        <v>39.15</v>
      </c>
      <c r="K57">
        <f t="shared" si="8"/>
        <v>0</v>
      </c>
    </row>
    <row r="58" spans="1:11" x14ac:dyDescent="0.25">
      <c r="A58" s="1">
        <v>47660</v>
      </c>
      <c r="B58">
        <f t="shared" si="0"/>
        <v>26</v>
      </c>
      <c r="C58">
        <f t="shared" si="1"/>
        <v>6</v>
      </c>
      <c r="D58">
        <f t="shared" si="2"/>
        <v>2030</v>
      </c>
      <c r="E58">
        <f t="shared" si="3"/>
        <v>3</v>
      </c>
      <c r="F58">
        <f t="shared" si="6"/>
        <v>0</v>
      </c>
      <c r="G58">
        <f t="shared" si="9"/>
        <v>0.56000000000000005</v>
      </c>
      <c r="H58">
        <f t="shared" si="4"/>
        <v>0.56000000000000005</v>
      </c>
      <c r="I58">
        <f t="shared" si="5"/>
        <v>0.56000000000000005</v>
      </c>
      <c r="J58">
        <f t="shared" si="7"/>
        <v>39.71</v>
      </c>
      <c r="K58">
        <f t="shared" si="8"/>
        <v>0</v>
      </c>
    </row>
    <row r="59" spans="1:11" x14ac:dyDescent="0.25">
      <c r="A59" s="1">
        <v>47661</v>
      </c>
      <c r="B59">
        <f t="shared" si="0"/>
        <v>27</v>
      </c>
      <c r="C59">
        <f t="shared" si="1"/>
        <v>6</v>
      </c>
      <c r="D59">
        <f t="shared" si="2"/>
        <v>2030</v>
      </c>
      <c r="E59">
        <f t="shared" si="3"/>
        <v>4</v>
      </c>
      <c r="F59">
        <f t="shared" si="6"/>
        <v>0</v>
      </c>
      <c r="G59">
        <f t="shared" si="9"/>
        <v>0.55000000000000004</v>
      </c>
      <c r="H59">
        <f t="shared" si="4"/>
        <v>0.55000000000000004</v>
      </c>
      <c r="I59">
        <f t="shared" si="5"/>
        <v>0.55000000000000004</v>
      </c>
      <c r="J59">
        <f t="shared" si="7"/>
        <v>40.26</v>
      </c>
      <c r="K59">
        <f t="shared" si="8"/>
        <v>0</v>
      </c>
    </row>
    <row r="60" spans="1:11" x14ac:dyDescent="0.25">
      <c r="A60" s="1">
        <v>47662</v>
      </c>
      <c r="B60">
        <f t="shared" si="0"/>
        <v>28</v>
      </c>
      <c r="C60">
        <f t="shared" si="1"/>
        <v>6</v>
      </c>
      <c r="D60">
        <f t="shared" si="2"/>
        <v>2030</v>
      </c>
      <c r="E60">
        <f t="shared" si="3"/>
        <v>5</v>
      </c>
      <c r="F60">
        <f t="shared" si="6"/>
        <v>0</v>
      </c>
      <c r="G60">
        <f t="shared" si="9"/>
        <v>0.54</v>
      </c>
      <c r="H60">
        <f t="shared" si="4"/>
        <v>0.54</v>
      </c>
      <c r="I60">
        <f t="shared" si="5"/>
        <v>0.54</v>
      </c>
      <c r="J60">
        <f t="shared" si="7"/>
        <v>40.799999999999997</v>
      </c>
      <c r="K60">
        <f t="shared" si="8"/>
        <v>0</v>
      </c>
    </row>
    <row r="61" spans="1:11" x14ac:dyDescent="0.25">
      <c r="A61" s="1">
        <v>47663</v>
      </c>
      <c r="B61">
        <f t="shared" si="0"/>
        <v>29</v>
      </c>
      <c r="C61">
        <f t="shared" si="1"/>
        <v>6</v>
      </c>
      <c r="D61">
        <f t="shared" si="2"/>
        <v>2030</v>
      </c>
      <c r="E61">
        <f t="shared" si="3"/>
        <v>6</v>
      </c>
      <c r="F61">
        <f t="shared" si="6"/>
        <v>0</v>
      </c>
      <c r="G61">
        <f t="shared" si="9"/>
        <v>0.53</v>
      </c>
      <c r="H61">
        <f t="shared" si="4"/>
        <v>0.53</v>
      </c>
      <c r="I61">
        <f t="shared" si="5"/>
        <v>0.53</v>
      </c>
      <c r="J61">
        <f t="shared" si="7"/>
        <v>41.33</v>
      </c>
      <c r="K61">
        <f t="shared" si="8"/>
        <v>0</v>
      </c>
    </row>
    <row r="62" spans="1:11" x14ac:dyDescent="0.25">
      <c r="A62" s="1">
        <v>47664</v>
      </c>
      <c r="B62">
        <f t="shared" si="0"/>
        <v>30</v>
      </c>
      <c r="C62">
        <f t="shared" si="1"/>
        <v>6</v>
      </c>
      <c r="D62">
        <f t="shared" si="2"/>
        <v>2030</v>
      </c>
      <c r="E62">
        <f t="shared" si="3"/>
        <v>7</v>
      </c>
      <c r="F62">
        <f t="shared" si="6"/>
        <v>0</v>
      </c>
      <c r="G62">
        <f t="shared" si="9"/>
        <v>0.52</v>
      </c>
      <c r="H62">
        <f t="shared" si="4"/>
        <v>0.52</v>
      </c>
      <c r="I62">
        <f t="shared" si="5"/>
        <v>0</v>
      </c>
      <c r="J62">
        <f t="shared" si="7"/>
        <v>41.33</v>
      </c>
      <c r="K62">
        <f t="shared" si="8"/>
        <v>0</v>
      </c>
    </row>
    <row r="63" spans="1:11" x14ac:dyDescent="0.25">
      <c r="A63" s="1">
        <v>47665</v>
      </c>
      <c r="B63">
        <f t="shared" si="0"/>
        <v>1</v>
      </c>
      <c r="C63">
        <f t="shared" si="1"/>
        <v>7</v>
      </c>
      <c r="D63">
        <f t="shared" si="2"/>
        <v>2030</v>
      </c>
      <c r="E63">
        <f t="shared" si="3"/>
        <v>1</v>
      </c>
      <c r="F63">
        <f t="shared" si="6"/>
        <v>1</v>
      </c>
      <c r="G63">
        <f t="shared" si="9"/>
        <v>0.51</v>
      </c>
      <c r="H63">
        <f t="shared" si="4"/>
        <v>0.58650000000000002</v>
      </c>
      <c r="I63">
        <f t="shared" si="5"/>
        <v>0</v>
      </c>
      <c r="J63">
        <f t="shared" si="7"/>
        <v>41.33</v>
      </c>
      <c r="K63">
        <f t="shared" si="8"/>
        <v>1</v>
      </c>
    </row>
    <row r="64" spans="1:11" x14ac:dyDescent="0.25">
      <c r="A64" s="1">
        <v>47666</v>
      </c>
      <c r="B64">
        <f t="shared" si="0"/>
        <v>2</v>
      </c>
      <c r="C64">
        <f t="shared" si="1"/>
        <v>7</v>
      </c>
      <c r="D64">
        <f t="shared" si="2"/>
        <v>2030</v>
      </c>
      <c r="E64">
        <f t="shared" si="3"/>
        <v>2</v>
      </c>
      <c r="F64">
        <f t="shared" si="6"/>
        <v>0</v>
      </c>
      <c r="G64">
        <f t="shared" si="9"/>
        <v>0.5</v>
      </c>
      <c r="H64">
        <f t="shared" si="4"/>
        <v>0.5</v>
      </c>
      <c r="I64">
        <f t="shared" si="5"/>
        <v>0.5</v>
      </c>
      <c r="J64">
        <f t="shared" si="7"/>
        <v>41.83</v>
      </c>
      <c r="K64">
        <f t="shared" si="8"/>
        <v>0</v>
      </c>
    </row>
    <row r="65" spans="1:11" x14ac:dyDescent="0.25">
      <c r="A65" s="1">
        <v>47667</v>
      </c>
      <c r="B65">
        <f t="shared" si="0"/>
        <v>3</v>
      </c>
      <c r="C65">
        <f t="shared" si="1"/>
        <v>7</v>
      </c>
      <c r="D65">
        <f t="shared" si="2"/>
        <v>2030</v>
      </c>
      <c r="E65">
        <f t="shared" si="3"/>
        <v>3</v>
      </c>
      <c r="F65">
        <f t="shared" si="6"/>
        <v>0</v>
      </c>
      <c r="G65">
        <f t="shared" si="9"/>
        <v>0.49</v>
      </c>
      <c r="H65">
        <f t="shared" si="4"/>
        <v>0.49</v>
      </c>
      <c r="I65">
        <f t="shared" si="5"/>
        <v>0.49</v>
      </c>
      <c r="J65">
        <f t="shared" si="7"/>
        <v>42.32</v>
      </c>
      <c r="K65">
        <f t="shared" si="8"/>
        <v>0</v>
      </c>
    </row>
    <row r="66" spans="1:11" x14ac:dyDescent="0.25">
      <c r="A66" s="1">
        <v>47668</v>
      </c>
      <c r="B66">
        <f t="shared" si="0"/>
        <v>4</v>
      </c>
      <c r="C66">
        <f t="shared" si="1"/>
        <v>7</v>
      </c>
      <c r="D66">
        <f t="shared" si="2"/>
        <v>2030</v>
      </c>
      <c r="E66">
        <f t="shared" si="3"/>
        <v>4</v>
      </c>
      <c r="F66">
        <f t="shared" si="6"/>
        <v>0</v>
      </c>
      <c r="G66">
        <f t="shared" si="9"/>
        <v>0.49</v>
      </c>
      <c r="H66">
        <f t="shared" si="4"/>
        <v>0.49</v>
      </c>
      <c r="I66">
        <f t="shared" si="5"/>
        <v>0.49</v>
      </c>
      <c r="J66">
        <f t="shared" si="7"/>
        <v>42.81</v>
      </c>
      <c r="K66">
        <f t="shared" si="8"/>
        <v>0</v>
      </c>
    </row>
    <row r="67" spans="1:11" x14ac:dyDescent="0.25">
      <c r="A67" s="1">
        <v>47669</v>
      </c>
      <c r="B67">
        <f t="shared" ref="B67:B130" si="10">DAY(A67)</f>
        <v>5</v>
      </c>
      <c r="C67">
        <f t="shared" ref="C67:C83" si="11">MONTH(A67)</f>
        <v>7</v>
      </c>
      <c r="D67">
        <f t="shared" ref="D67:D83" si="12">YEAR(A67)</f>
        <v>2030</v>
      </c>
      <c r="E67">
        <f t="shared" ref="E67:E83" si="13">WEEKDAY(A67,2)</f>
        <v>5</v>
      </c>
      <c r="F67">
        <f t="shared" si="6"/>
        <v>0</v>
      </c>
      <c r="G67">
        <f t="shared" si="9"/>
        <v>0.49</v>
      </c>
      <c r="H67">
        <f t="shared" ref="H67:H130" si="14">IF(F67=1,G67+G67*0.15,G67)</f>
        <v>0.49</v>
      </c>
      <c r="I67">
        <f t="shared" ref="I67:I130" si="15">IF(AND(F67=0,E67&lt;&gt;7),H67,0)</f>
        <v>0.49</v>
      </c>
      <c r="J67">
        <f t="shared" si="7"/>
        <v>43.300000000000004</v>
      </c>
      <c r="K67">
        <f t="shared" si="8"/>
        <v>0</v>
      </c>
    </row>
    <row r="68" spans="1:11" x14ac:dyDescent="0.25">
      <c r="A68" s="1">
        <v>47670</v>
      </c>
      <c r="B68">
        <f t="shared" si="10"/>
        <v>6</v>
      </c>
      <c r="C68">
        <f t="shared" si="11"/>
        <v>7</v>
      </c>
      <c r="D68">
        <f t="shared" si="12"/>
        <v>2030</v>
      </c>
      <c r="E68">
        <f t="shared" si="13"/>
        <v>6</v>
      </c>
      <c r="F68">
        <f t="shared" ref="F68:F131" si="16">IF(B68=1,1,0)</f>
        <v>0</v>
      </c>
      <c r="G68">
        <f t="shared" si="9"/>
        <v>0.49</v>
      </c>
      <c r="H68">
        <f t="shared" si="14"/>
        <v>0.49</v>
      </c>
      <c r="I68">
        <f t="shared" si="15"/>
        <v>0.49</v>
      </c>
      <c r="J68">
        <f t="shared" ref="J68:J131" si="17">J67+I68</f>
        <v>43.790000000000006</v>
      </c>
      <c r="K68">
        <f t="shared" ref="K68:K131" si="18">IF(AND(I68=0,I67=0),1,0)</f>
        <v>0</v>
      </c>
    </row>
    <row r="69" spans="1:11" x14ac:dyDescent="0.25">
      <c r="A69" s="1">
        <v>47671</v>
      </c>
      <c r="B69">
        <f t="shared" si="10"/>
        <v>7</v>
      </c>
      <c r="C69">
        <f t="shared" si="11"/>
        <v>7</v>
      </c>
      <c r="D69">
        <f t="shared" si="12"/>
        <v>2030</v>
      </c>
      <c r="E69">
        <f t="shared" si="13"/>
        <v>7</v>
      </c>
      <c r="F69">
        <f t="shared" si="16"/>
        <v>0</v>
      </c>
      <c r="G69">
        <f t="shared" si="9"/>
        <v>0.49</v>
      </c>
      <c r="H69">
        <f t="shared" si="14"/>
        <v>0.49</v>
      </c>
      <c r="I69">
        <f t="shared" si="15"/>
        <v>0</v>
      </c>
      <c r="J69">
        <f t="shared" si="17"/>
        <v>43.790000000000006</v>
      </c>
      <c r="K69">
        <f t="shared" si="18"/>
        <v>0</v>
      </c>
    </row>
    <row r="70" spans="1:11" x14ac:dyDescent="0.25">
      <c r="A70" s="1">
        <v>47672</v>
      </c>
      <c r="B70">
        <f t="shared" si="10"/>
        <v>8</v>
      </c>
      <c r="C70">
        <f t="shared" si="11"/>
        <v>7</v>
      </c>
      <c r="D70">
        <f t="shared" si="12"/>
        <v>2030</v>
      </c>
      <c r="E70">
        <f t="shared" si="13"/>
        <v>1</v>
      </c>
      <c r="F70">
        <f t="shared" si="16"/>
        <v>0</v>
      </c>
      <c r="G70">
        <f t="shared" si="9"/>
        <v>0.49</v>
      </c>
      <c r="H70">
        <f t="shared" si="14"/>
        <v>0.49</v>
      </c>
      <c r="I70">
        <f t="shared" si="15"/>
        <v>0.49</v>
      </c>
      <c r="J70">
        <f t="shared" si="17"/>
        <v>44.280000000000008</v>
      </c>
      <c r="K70">
        <f t="shared" si="18"/>
        <v>0</v>
      </c>
    </row>
    <row r="71" spans="1:11" x14ac:dyDescent="0.25">
      <c r="A71" s="1">
        <v>47673</v>
      </c>
      <c r="B71">
        <f t="shared" si="10"/>
        <v>9</v>
      </c>
      <c r="C71">
        <f t="shared" si="11"/>
        <v>7</v>
      </c>
      <c r="D71">
        <f t="shared" si="12"/>
        <v>2030</v>
      </c>
      <c r="E71">
        <f t="shared" si="13"/>
        <v>2</v>
      </c>
      <c r="F71">
        <f t="shared" si="16"/>
        <v>0</v>
      </c>
      <c r="G71">
        <f t="shared" si="9"/>
        <v>0.49</v>
      </c>
      <c r="H71">
        <f t="shared" si="14"/>
        <v>0.49</v>
      </c>
      <c r="I71">
        <f t="shared" si="15"/>
        <v>0.49</v>
      </c>
      <c r="J71">
        <f t="shared" si="17"/>
        <v>44.77000000000001</v>
      </c>
      <c r="K71">
        <f t="shared" si="18"/>
        <v>0</v>
      </c>
    </row>
    <row r="72" spans="1:11" x14ac:dyDescent="0.25">
      <c r="A72" s="1">
        <v>47674</v>
      </c>
      <c r="B72">
        <f t="shared" si="10"/>
        <v>10</v>
      </c>
      <c r="C72">
        <f t="shared" si="11"/>
        <v>7</v>
      </c>
      <c r="D72">
        <f t="shared" si="12"/>
        <v>2030</v>
      </c>
      <c r="E72">
        <f t="shared" si="13"/>
        <v>3</v>
      </c>
      <c r="F72">
        <f t="shared" si="16"/>
        <v>0</v>
      </c>
      <c r="G72">
        <f t="shared" si="9"/>
        <v>0.49</v>
      </c>
      <c r="H72">
        <f t="shared" si="14"/>
        <v>0.49</v>
      </c>
      <c r="I72">
        <f t="shared" si="15"/>
        <v>0.49</v>
      </c>
      <c r="J72">
        <f t="shared" si="17"/>
        <v>45.260000000000012</v>
      </c>
      <c r="K72">
        <f t="shared" si="18"/>
        <v>0</v>
      </c>
    </row>
    <row r="73" spans="1:11" x14ac:dyDescent="0.25">
      <c r="A73" s="1">
        <v>47675</v>
      </c>
      <c r="B73">
        <f t="shared" si="10"/>
        <v>11</v>
      </c>
      <c r="C73">
        <f t="shared" si="11"/>
        <v>7</v>
      </c>
      <c r="D73">
        <f t="shared" si="12"/>
        <v>2030</v>
      </c>
      <c r="E73">
        <f t="shared" si="13"/>
        <v>4</v>
      </c>
      <c r="F73">
        <f t="shared" si="16"/>
        <v>0</v>
      </c>
      <c r="G73">
        <f t="shared" si="9"/>
        <v>0.49</v>
      </c>
      <c r="H73">
        <f t="shared" si="14"/>
        <v>0.49</v>
      </c>
      <c r="I73">
        <f t="shared" si="15"/>
        <v>0.49</v>
      </c>
      <c r="J73">
        <f t="shared" si="17"/>
        <v>45.750000000000014</v>
      </c>
      <c r="K73">
        <f t="shared" si="18"/>
        <v>0</v>
      </c>
    </row>
    <row r="74" spans="1:11" x14ac:dyDescent="0.25">
      <c r="A74" s="1">
        <v>47676</v>
      </c>
      <c r="B74">
        <f t="shared" si="10"/>
        <v>12</v>
      </c>
      <c r="C74">
        <f t="shared" si="11"/>
        <v>7</v>
      </c>
      <c r="D74">
        <f t="shared" si="12"/>
        <v>2030</v>
      </c>
      <c r="E74">
        <f t="shared" si="13"/>
        <v>5</v>
      </c>
      <c r="F74">
        <f t="shared" si="16"/>
        <v>0</v>
      </c>
      <c r="G74">
        <f t="shared" si="9"/>
        <v>0.49</v>
      </c>
      <c r="H74">
        <f t="shared" si="14"/>
        <v>0.49</v>
      </c>
      <c r="I74">
        <f t="shared" si="15"/>
        <v>0.49</v>
      </c>
      <c r="J74">
        <f t="shared" si="17"/>
        <v>46.240000000000016</v>
      </c>
      <c r="K74">
        <f t="shared" si="18"/>
        <v>0</v>
      </c>
    </row>
    <row r="75" spans="1:11" x14ac:dyDescent="0.25">
      <c r="A75" s="1">
        <v>47677</v>
      </c>
      <c r="B75">
        <f t="shared" si="10"/>
        <v>13</v>
      </c>
      <c r="C75">
        <f t="shared" si="11"/>
        <v>7</v>
      </c>
      <c r="D75">
        <f t="shared" si="12"/>
        <v>2030</v>
      </c>
      <c r="E75">
        <f t="shared" si="13"/>
        <v>6</v>
      </c>
      <c r="F75">
        <f t="shared" si="16"/>
        <v>0</v>
      </c>
      <c r="G75">
        <f t="shared" si="9"/>
        <v>0.49</v>
      </c>
      <c r="H75">
        <f t="shared" si="14"/>
        <v>0.49</v>
      </c>
      <c r="I75">
        <f t="shared" si="15"/>
        <v>0.49</v>
      </c>
      <c r="J75">
        <f t="shared" si="17"/>
        <v>46.730000000000018</v>
      </c>
      <c r="K75">
        <f t="shared" si="18"/>
        <v>0</v>
      </c>
    </row>
    <row r="76" spans="1:11" x14ac:dyDescent="0.25">
      <c r="A76" s="1">
        <v>47678</v>
      </c>
      <c r="B76">
        <f t="shared" si="10"/>
        <v>14</v>
      </c>
      <c r="C76">
        <f t="shared" si="11"/>
        <v>7</v>
      </c>
      <c r="D76">
        <f t="shared" si="12"/>
        <v>2030</v>
      </c>
      <c r="E76">
        <f t="shared" si="13"/>
        <v>7</v>
      </c>
      <c r="F76">
        <f t="shared" si="16"/>
        <v>0</v>
      </c>
      <c r="G76">
        <f t="shared" si="9"/>
        <v>0.49</v>
      </c>
      <c r="H76">
        <f t="shared" si="14"/>
        <v>0.49</v>
      </c>
      <c r="I76">
        <f t="shared" si="15"/>
        <v>0</v>
      </c>
      <c r="J76">
        <f t="shared" si="17"/>
        <v>46.730000000000018</v>
      </c>
      <c r="K76">
        <f t="shared" si="18"/>
        <v>0</v>
      </c>
    </row>
    <row r="77" spans="1:11" x14ac:dyDescent="0.25">
      <c r="A77" s="1">
        <v>47679</v>
      </c>
      <c r="B77">
        <f t="shared" si="10"/>
        <v>15</v>
      </c>
      <c r="C77">
        <f t="shared" si="11"/>
        <v>7</v>
      </c>
      <c r="D77">
        <f t="shared" si="12"/>
        <v>2030</v>
      </c>
      <c r="E77">
        <f t="shared" si="13"/>
        <v>1</v>
      </c>
      <c r="F77">
        <f t="shared" si="16"/>
        <v>0</v>
      </c>
      <c r="G77">
        <f t="shared" si="9"/>
        <v>0.49</v>
      </c>
      <c r="H77">
        <f t="shared" si="14"/>
        <v>0.49</v>
      </c>
      <c r="I77">
        <f t="shared" si="15"/>
        <v>0.49</v>
      </c>
      <c r="J77">
        <f t="shared" si="17"/>
        <v>47.22000000000002</v>
      </c>
      <c r="K77">
        <f t="shared" si="18"/>
        <v>0</v>
      </c>
    </row>
    <row r="78" spans="1:11" x14ac:dyDescent="0.25">
      <c r="A78" s="1">
        <v>47680</v>
      </c>
      <c r="B78">
        <f t="shared" si="10"/>
        <v>16</v>
      </c>
      <c r="C78">
        <f t="shared" si="11"/>
        <v>7</v>
      </c>
      <c r="D78">
        <f t="shared" si="12"/>
        <v>2030</v>
      </c>
      <c r="E78">
        <f t="shared" si="13"/>
        <v>2</v>
      </c>
      <c r="F78">
        <f t="shared" si="16"/>
        <v>0</v>
      </c>
      <c r="G78">
        <f t="shared" si="9"/>
        <v>0.49</v>
      </c>
      <c r="H78">
        <f t="shared" si="14"/>
        <v>0.49</v>
      </c>
      <c r="I78">
        <f t="shared" si="15"/>
        <v>0.49</v>
      </c>
      <c r="J78">
        <f t="shared" si="17"/>
        <v>47.710000000000022</v>
      </c>
      <c r="K78">
        <f t="shared" si="18"/>
        <v>0</v>
      </c>
    </row>
    <row r="79" spans="1:11" x14ac:dyDescent="0.25">
      <c r="A79" s="1">
        <v>47681</v>
      </c>
      <c r="B79">
        <f t="shared" si="10"/>
        <v>17</v>
      </c>
      <c r="C79">
        <f t="shared" si="11"/>
        <v>7</v>
      </c>
      <c r="D79">
        <f t="shared" si="12"/>
        <v>2030</v>
      </c>
      <c r="E79">
        <f t="shared" si="13"/>
        <v>3</v>
      </c>
      <c r="F79">
        <f t="shared" si="16"/>
        <v>0</v>
      </c>
      <c r="G79">
        <f t="shared" si="9"/>
        <v>0.49</v>
      </c>
      <c r="H79">
        <f t="shared" si="14"/>
        <v>0.49</v>
      </c>
      <c r="I79">
        <f t="shared" si="15"/>
        <v>0.49</v>
      </c>
      <c r="J79">
        <f t="shared" si="17"/>
        <v>48.200000000000024</v>
      </c>
      <c r="K79">
        <f t="shared" si="18"/>
        <v>0</v>
      </c>
    </row>
    <row r="80" spans="1:11" x14ac:dyDescent="0.25">
      <c r="A80" s="1">
        <v>47682</v>
      </c>
      <c r="B80">
        <f t="shared" si="10"/>
        <v>18</v>
      </c>
      <c r="C80">
        <f t="shared" si="11"/>
        <v>7</v>
      </c>
      <c r="D80">
        <f t="shared" si="12"/>
        <v>2030</v>
      </c>
      <c r="E80">
        <f t="shared" si="13"/>
        <v>4</v>
      </c>
      <c r="F80">
        <f t="shared" si="16"/>
        <v>0</v>
      </c>
      <c r="G80">
        <f t="shared" si="9"/>
        <v>0.49</v>
      </c>
      <c r="H80">
        <f t="shared" si="14"/>
        <v>0.49</v>
      </c>
      <c r="I80">
        <f t="shared" si="15"/>
        <v>0.49</v>
      </c>
      <c r="J80">
        <f t="shared" si="17"/>
        <v>48.690000000000026</v>
      </c>
      <c r="K80">
        <f t="shared" si="18"/>
        <v>0</v>
      </c>
    </row>
    <row r="81" spans="1:11" x14ac:dyDescent="0.25">
      <c r="A81" s="1">
        <v>47683</v>
      </c>
      <c r="B81">
        <f t="shared" si="10"/>
        <v>19</v>
      </c>
      <c r="C81">
        <f t="shared" si="11"/>
        <v>7</v>
      </c>
      <c r="D81">
        <f t="shared" si="12"/>
        <v>2030</v>
      </c>
      <c r="E81">
        <f t="shared" si="13"/>
        <v>5</v>
      </c>
      <c r="F81">
        <f t="shared" si="16"/>
        <v>0</v>
      </c>
      <c r="G81">
        <f t="shared" ref="G81:G144" si="19">IF(G80&lt;&gt;0,ROUNDUP(G80*0.98,2),ROUNDUP(G79*0.98,2))</f>
        <v>0.49</v>
      </c>
      <c r="H81">
        <f t="shared" si="14"/>
        <v>0.49</v>
      </c>
      <c r="I81">
        <f t="shared" si="15"/>
        <v>0.49</v>
      </c>
      <c r="J81">
        <f t="shared" si="17"/>
        <v>49.180000000000028</v>
      </c>
      <c r="K81">
        <f t="shared" si="18"/>
        <v>0</v>
      </c>
    </row>
    <row r="82" spans="1:11" x14ac:dyDescent="0.25">
      <c r="A82" s="1">
        <v>47684</v>
      </c>
      <c r="B82">
        <f t="shared" si="10"/>
        <v>20</v>
      </c>
      <c r="C82">
        <f t="shared" si="11"/>
        <v>7</v>
      </c>
      <c r="D82">
        <f t="shared" si="12"/>
        <v>2030</v>
      </c>
      <c r="E82">
        <f t="shared" si="13"/>
        <v>6</v>
      </c>
      <c r="F82">
        <f t="shared" si="16"/>
        <v>0</v>
      </c>
      <c r="G82">
        <f t="shared" si="19"/>
        <v>0.49</v>
      </c>
      <c r="H82">
        <f t="shared" si="14"/>
        <v>0.49</v>
      </c>
      <c r="I82">
        <f t="shared" si="15"/>
        <v>0.49</v>
      </c>
      <c r="J82">
        <f t="shared" si="17"/>
        <v>49.67000000000003</v>
      </c>
      <c r="K82">
        <f t="shared" si="18"/>
        <v>0</v>
      </c>
    </row>
    <row r="83" spans="1:11" x14ac:dyDescent="0.25">
      <c r="A83" s="1">
        <v>47685</v>
      </c>
      <c r="B83">
        <f t="shared" si="10"/>
        <v>21</v>
      </c>
      <c r="C83">
        <f t="shared" si="11"/>
        <v>7</v>
      </c>
      <c r="D83">
        <f t="shared" si="12"/>
        <v>2030</v>
      </c>
      <c r="E83">
        <f t="shared" si="13"/>
        <v>7</v>
      </c>
      <c r="F83">
        <f t="shared" si="16"/>
        <v>0</v>
      </c>
      <c r="G83">
        <f t="shared" si="19"/>
        <v>0.49</v>
      </c>
      <c r="H83">
        <f t="shared" si="14"/>
        <v>0.49</v>
      </c>
      <c r="I83">
        <f t="shared" si="15"/>
        <v>0</v>
      </c>
      <c r="J83">
        <f t="shared" si="17"/>
        <v>49.67000000000003</v>
      </c>
      <c r="K83">
        <f t="shared" si="18"/>
        <v>0</v>
      </c>
    </row>
    <row r="84" spans="1:11" x14ac:dyDescent="0.25">
      <c r="A84" s="1">
        <v>47686</v>
      </c>
      <c r="B84">
        <f t="shared" si="10"/>
        <v>22</v>
      </c>
      <c r="C84">
        <f t="shared" ref="C84:C109" si="20">MONTH(A84)</f>
        <v>7</v>
      </c>
      <c r="D84">
        <f t="shared" ref="D84:D109" si="21">YEAR(A84)</f>
        <v>2030</v>
      </c>
      <c r="E84">
        <f t="shared" ref="E84:E109" si="22">WEEKDAY(A84,2)</f>
        <v>1</v>
      </c>
      <c r="F84">
        <f t="shared" si="16"/>
        <v>0</v>
      </c>
      <c r="G84">
        <f t="shared" si="19"/>
        <v>0.49</v>
      </c>
      <c r="H84">
        <f t="shared" si="14"/>
        <v>0.49</v>
      </c>
      <c r="I84">
        <f t="shared" si="15"/>
        <v>0.49</v>
      </c>
      <c r="J84">
        <f t="shared" si="17"/>
        <v>50.160000000000032</v>
      </c>
      <c r="K84">
        <f t="shared" si="18"/>
        <v>0</v>
      </c>
    </row>
    <row r="85" spans="1:11" x14ac:dyDescent="0.25">
      <c r="A85" s="1">
        <v>47687</v>
      </c>
      <c r="B85">
        <f t="shared" si="10"/>
        <v>23</v>
      </c>
      <c r="C85">
        <f t="shared" si="20"/>
        <v>7</v>
      </c>
      <c r="D85">
        <f t="shared" si="21"/>
        <v>2030</v>
      </c>
      <c r="E85">
        <f t="shared" si="22"/>
        <v>2</v>
      </c>
      <c r="F85">
        <f t="shared" si="16"/>
        <v>0</v>
      </c>
      <c r="G85">
        <f t="shared" si="19"/>
        <v>0.49</v>
      </c>
      <c r="H85">
        <f t="shared" si="14"/>
        <v>0.49</v>
      </c>
      <c r="I85">
        <f t="shared" si="15"/>
        <v>0.49</v>
      </c>
      <c r="J85">
        <f t="shared" si="17"/>
        <v>50.650000000000034</v>
      </c>
      <c r="K85">
        <f t="shared" si="18"/>
        <v>0</v>
      </c>
    </row>
    <row r="86" spans="1:11" x14ac:dyDescent="0.25">
      <c r="A86" s="1">
        <v>47688</v>
      </c>
      <c r="B86">
        <f t="shared" si="10"/>
        <v>24</v>
      </c>
      <c r="C86">
        <f t="shared" si="20"/>
        <v>7</v>
      </c>
      <c r="D86">
        <f t="shared" si="21"/>
        <v>2030</v>
      </c>
      <c r="E86">
        <f t="shared" si="22"/>
        <v>3</v>
      </c>
      <c r="F86">
        <f t="shared" si="16"/>
        <v>0</v>
      </c>
      <c r="G86">
        <f t="shared" si="19"/>
        <v>0.49</v>
      </c>
      <c r="H86">
        <f t="shared" si="14"/>
        <v>0.49</v>
      </c>
      <c r="I86">
        <f t="shared" si="15"/>
        <v>0.49</v>
      </c>
      <c r="J86">
        <f t="shared" si="17"/>
        <v>51.140000000000036</v>
      </c>
      <c r="K86">
        <f t="shared" si="18"/>
        <v>0</v>
      </c>
    </row>
    <row r="87" spans="1:11" x14ac:dyDescent="0.25">
      <c r="A87" s="1">
        <v>47689</v>
      </c>
      <c r="B87">
        <f t="shared" si="10"/>
        <v>25</v>
      </c>
      <c r="C87">
        <f t="shared" si="20"/>
        <v>7</v>
      </c>
      <c r="D87">
        <f t="shared" si="21"/>
        <v>2030</v>
      </c>
      <c r="E87">
        <f t="shared" si="22"/>
        <v>4</v>
      </c>
      <c r="F87">
        <f t="shared" si="16"/>
        <v>0</v>
      </c>
      <c r="G87">
        <f t="shared" si="19"/>
        <v>0.49</v>
      </c>
      <c r="H87">
        <f t="shared" si="14"/>
        <v>0.49</v>
      </c>
      <c r="I87">
        <f t="shared" si="15"/>
        <v>0.49</v>
      </c>
      <c r="J87">
        <f t="shared" si="17"/>
        <v>51.630000000000038</v>
      </c>
      <c r="K87">
        <f t="shared" si="18"/>
        <v>0</v>
      </c>
    </row>
    <row r="88" spans="1:11" x14ac:dyDescent="0.25">
      <c r="A88" s="1">
        <v>47690</v>
      </c>
      <c r="B88">
        <f t="shared" si="10"/>
        <v>26</v>
      </c>
      <c r="C88">
        <f t="shared" si="20"/>
        <v>7</v>
      </c>
      <c r="D88">
        <f t="shared" si="21"/>
        <v>2030</v>
      </c>
      <c r="E88">
        <f t="shared" si="22"/>
        <v>5</v>
      </c>
      <c r="F88">
        <f t="shared" si="16"/>
        <v>0</v>
      </c>
      <c r="G88">
        <f t="shared" si="19"/>
        <v>0.49</v>
      </c>
      <c r="H88">
        <f t="shared" si="14"/>
        <v>0.49</v>
      </c>
      <c r="I88">
        <f t="shared" si="15"/>
        <v>0.49</v>
      </c>
      <c r="J88">
        <f t="shared" si="17"/>
        <v>52.12000000000004</v>
      </c>
      <c r="K88">
        <f t="shared" si="18"/>
        <v>0</v>
      </c>
    </row>
    <row r="89" spans="1:11" x14ac:dyDescent="0.25">
      <c r="A89" s="1">
        <v>47691</v>
      </c>
      <c r="B89">
        <f t="shared" si="10"/>
        <v>27</v>
      </c>
      <c r="C89">
        <f t="shared" si="20"/>
        <v>7</v>
      </c>
      <c r="D89">
        <f t="shared" si="21"/>
        <v>2030</v>
      </c>
      <c r="E89">
        <f t="shared" si="22"/>
        <v>6</v>
      </c>
      <c r="F89">
        <f t="shared" si="16"/>
        <v>0</v>
      </c>
      <c r="G89">
        <f t="shared" si="19"/>
        <v>0.49</v>
      </c>
      <c r="H89">
        <f t="shared" si="14"/>
        <v>0.49</v>
      </c>
      <c r="I89">
        <f t="shared" si="15"/>
        <v>0.49</v>
      </c>
      <c r="J89">
        <f t="shared" si="17"/>
        <v>52.610000000000042</v>
      </c>
      <c r="K89">
        <f t="shared" si="18"/>
        <v>0</v>
      </c>
    </row>
    <row r="90" spans="1:11" x14ac:dyDescent="0.25">
      <c r="A90" s="1">
        <v>47692</v>
      </c>
      <c r="B90">
        <f t="shared" si="10"/>
        <v>28</v>
      </c>
      <c r="C90">
        <f t="shared" si="20"/>
        <v>7</v>
      </c>
      <c r="D90">
        <f t="shared" si="21"/>
        <v>2030</v>
      </c>
      <c r="E90">
        <f t="shared" si="22"/>
        <v>7</v>
      </c>
      <c r="F90">
        <f t="shared" si="16"/>
        <v>0</v>
      </c>
      <c r="G90">
        <f t="shared" si="19"/>
        <v>0.49</v>
      </c>
      <c r="H90">
        <f t="shared" si="14"/>
        <v>0.49</v>
      </c>
      <c r="I90">
        <f t="shared" si="15"/>
        <v>0</v>
      </c>
      <c r="J90">
        <f t="shared" si="17"/>
        <v>52.610000000000042</v>
      </c>
      <c r="K90">
        <f t="shared" si="18"/>
        <v>0</v>
      </c>
    </row>
    <row r="91" spans="1:11" x14ac:dyDescent="0.25">
      <c r="A91" s="1">
        <v>47693</v>
      </c>
      <c r="B91">
        <f t="shared" si="10"/>
        <v>29</v>
      </c>
      <c r="C91">
        <f t="shared" si="20"/>
        <v>7</v>
      </c>
      <c r="D91">
        <f t="shared" si="21"/>
        <v>2030</v>
      </c>
      <c r="E91">
        <f t="shared" si="22"/>
        <v>1</v>
      </c>
      <c r="F91">
        <f t="shared" si="16"/>
        <v>0</v>
      </c>
      <c r="G91">
        <f t="shared" si="19"/>
        <v>0.49</v>
      </c>
      <c r="H91">
        <f t="shared" si="14"/>
        <v>0.49</v>
      </c>
      <c r="I91">
        <f t="shared" si="15"/>
        <v>0.49</v>
      </c>
      <c r="J91">
        <f t="shared" si="17"/>
        <v>53.100000000000044</v>
      </c>
      <c r="K91">
        <f t="shared" si="18"/>
        <v>0</v>
      </c>
    </row>
    <row r="92" spans="1:11" x14ac:dyDescent="0.25">
      <c r="A92" s="1">
        <v>47694</v>
      </c>
      <c r="B92">
        <f t="shared" si="10"/>
        <v>30</v>
      </c>
      <c r="C92">
        <f t="shared" si="20"/>
        <v>7</v>
      </c>
      <c r="D92">
        <f t="shared" si="21"/>
        <v>2030</v>
      </c>
      <c r="E92">
        <f t="shared" si="22"/>
        <v>2</v>
      </c>
      <c r="F92">
        <f t="shared" si="16"/>
        <v>0</v>
      </c>
      <c r="G92">
        <f t="shared" si="19"/>
        <v>0.49</v>
      </c>
      <c r="H92">
        <f t="shared" si="14"/>
        <v>0.49</v>
      </c>
      <c r="I92">
        <f t="shared" si="15"/>
        <v>0.49</v>
      </c>
      <c r="J92">
        <f t="shared" si="17"/>
        <v>53.590000000000046</v>
      </c>
      <c r="K92">
        <f t="shared" si="18"/>
        <v>0</v>
      </c>
    </row>
    <row r="93" spans="1:11" x14ac:dyDescent="0.25">
      <c r="A93" s="1">
        <v>47695</v>
      </c>
      <c r="B93">
        <f t="shared" si="10"/>
        <v>31</v>
      </c>
      <c r="C93">
        <f t="shared" si="20"/>
        <v>7</v>
      </c>
      <c r="D93">
        <f t="shared" si="21"/>
        <v>2030</v>
      </c>
      <c r="E93">
        <f t="shared" si="22"/>
        <v>3</v>
      </c>
      <c r="F93">
        <f t="shared" si="16"/>
        <v>0</v>
      </c>
      <c r="G93">
        <f t="shared" si="19"/>
        <v>0.49</v>
      </c>
      <c r="H93">
        <f t="shared" si="14"/>
        <v>0.49</v>
      </c>
      <c r="I93">
        <f t="shared" si="15"/>
        <v>0.49</v>
      </c>
      <c r="J93">
        <f t="shared" si="17"/>
        <v>54.080000000000048</v>
      </c>
      <c r="K93">
        <f t="shared" si="18"/>
        <v>0</v>
      </c>
    </row>
    <row r="94" spans="1:11" x14ac:dyDescent="0.25">
      <c r="A94" s="1">
        <v>47696</v>
      </c>
      <c r="B94">
        <f t="shared" si="10"/>
        <v>1</v>
      </c>
      <c r="C94">
        <f t="shared" si="20"/>
        <v>8</v>
      </c>
      <c r="D94">
        <f t="shared" si="21"/>
        <v>2030</v>
      </c>
      <c r="E94">
        <f t="shared" si="22"/>
        <v>4</v>
      </c>
      <c r="F94">
        <f t="shared" si="16"/>
        <v>1</v>
      </c>
      <c r="G94">
        <f t="shared" si="19"/>
        <v>0.49</v>
      </c>
      <c r="H94">
        <f t="shared" si="14"/>
        <v>0.5635</v>
      </c>
      <c r="I94">
        <f t="shared" si="15"/>
        <v>0</v>
      </c>
      <c r="J94">
        <f t="shared" si="17"/>
        <v>54.080000000000048</v>
      </c>
      <c r="K94">
        <f t="shared" si="18"/>
        <v>0</v>
      </c>
    </row>
    <row r="95" spans="1:11" x14ac:dyDescent="0.25">
      <c r="A95" s="1">
        <v>47697</v>
      </c>
      <c r="B95">
        <f t="shared" si="10"/>
        <v>2</v>
      </c>
      <c r="C95">
        <f t="shared" si="20"/>
        <v>8</v>
      </c>
      <c r="D95">
        <f t="shared" si="21"/>
        <v>2030</v>
      </c>
      <c r="E95">
        <f t="shared" si="22"/>
        <v>5</v>
      </c>
      <c r="F95">
        <f t="shared" si="16"/>
        <v>0</v>
      </c>
      <c r="G95">
        <f t="shared" si="19"/>
        <v>0.49</v>
      </c>
      <c r="H95">
        <f t="shared" si="14"/>
        <v>0.49</v>
      </c>
      <c r="I95">
        <f t="shared" si="15"/>
        <v>0.49</v>
      </c>
      <c r="J95">
        <f t="shared" si="17"/>
        <v>54.57000000000005</v>
      </c>
      <c r="K95">
        <f t="shared" si="18"/>
        <v>0</v>
      </c>
    </row>
    <row r="96" spans="1:11" x14ac:dyDescent="0.25">
      <c r="A96" s="1">
        <v>47698</v>
      </c>
      <c r="B96">
        <f t="shared" si="10"/>
        <v>3</v>
      </c>
      <c r="C96">
        <f t="shared" si="20"/>
        <v>8</v>
      </c>
      <c r="D96">
        <f t="shared" si="21"/>
        <v>2030</v>
      </c>
      <c r="E96">
        <f t="shared" si="22"/>
        <v>6</v>
      </c>
      <c r="F96">
        <f t="shared" si="16"/>
        <v>0</v>
      </c>
      <c r="G96">
        <f t="shared" si="19"/>
        <v>0.49</v>
      </c>
      <c r="H96">
        <f t="shared" si="14"/>
        <v>0.49</v>
      </c>
      <c r="I96">
        <f t="shared" si="15"/>
        <v>0.49</v>
      </c>
      <c r="J96">
        <f t="shared" si="17"/>
        <v>55.060000000000052</v>
      </c>
      <c r="K96">
        <f t="shared" si="18"/>
        <v>0</v>
      </c>
    </row>
    <row r="97" spans="1:11" x14ac:dyDescent="0.25">
      <c r="A97" s="1">
        <v>47699</v>
      </c>
      <c r="B97">
        <f t="shared" si="10"/>
        <v>4</v>
      </c>
      <c r="C97">
        <f t="shared" si="20"/>
        <v>8</v>
      </c>
      <c r="D97">
        <f t="shared" si="21"/>
        <v>2030</v>
      </c>
      <c r="E97">
        <f t="shared" si="22"/>
        <v>7</v>
      </c>
      <c r="F97">
        <f t="shared" si="16"/>
        <v>0</v>
      </c>
      <c r="G97">
        <f t="shared" si="19"/>
        <v>0.49</v>
      </c>
      <c r="H97">
        <f t="shared" si="14"/>
        <v>0.49</v>
      </c>
      <c r="I97">
        <f t="shared" si="15"/>
        <v>0</v>
      </c>
      <c r="J97">
        <f t="shared" si="17"/>
        <v>55.060000000000052</v>
      </c>
      <c r="K97">
        <f t="shared" si="18"/>
        <v>0</v>
      </c>
    </row>
    <row r="98" spans="1:11" x14ac:dyDescent="0.25">
      <c r="A98" s="1">
        <v>47700</v>
      </c>
      <c r="B98">
        <f t="shared" si="10"/>
        <v>5</v>
      </c>
      <c r="C98">
        <f t="shared" si="20"/>
        <v>8</v>
      </c>
      <c r="D98">
        <f t="shared" si="21"/>
        <v>2030</v>
      </c>
      <c r="E98">
        <f t="shared" si="22"/>
        <v>1</v>
      </c>
      <c r="F98">
        <f t="shared" si="16"/>
        <v>0</v>
      </c>
      <c r="G98">
        <f t="shared" si="19"/>
        <v>0.49</v>
      </c>
      <c r="H98">
        <f t="shared" si="14"/>
        <v>0.49</v>
      </c>
      <c r="I98">
        <f t="shared" si="15"/>
        <v>0.49</v>
      </c>
      <c r="J98">
        <f t="shared" si="17"/>
        <v>55.550000000000054</v>
      </c>
      <c r="K98">
        <f t="shared" si="18"/>
        <v>0</v>
      </c>
    </row>
    <row r="99" spans="1:11" x14ac:dyDescent="0.25">
      <c r="A99" s="1">
        <v>47701</v>
      </c>
      <c r="B99">
        <f t="shared" si="10"/>
        <v>6</v>
      </c>
      <c r="C99">
        <f t="shared" si="20"/>
        <v>8</v>
      </c>
      <c r="D99">
        <f t="shared" si="21"/>
        <v>2030</v>
      </c>
      <c r="E99">
        <f t="shared" si="22"/>
        <v>2</v>
      </c>
      <c r="F99">
        <f t="shared" si="16"/>
        <v>0</v>
      </c>
      <c r="G99">
        <f t="shared" si="19"/>
        <v>0.49</v>
      </c>
      <c r="H99">
        <f t="shared" si="14"/>
        <v>0.49</v>
      </c>
      <c r="I99">
        <f t="shared" si="15"/>
        <v>0.49</v>
      </c>
      <c r="J99">
        <f t="shared" si="17"/>
        <v>56.040000000000056</v>
      </c>
      <c r="K99">
        <f t="shared" si="18"/>
        <v>0</v>
      </c>
    </row>
    <row r="100" spans="1:11" x14ac:dyDescent="0.25">
      <c r="A100" s="1">
        <v>47702</v>
      </c>
      <c r="B100">
        <f t="shared" si="10"/>
        <v>7</v>
      </c>
      <c r="C100">
        <f t="shared" si="20"/>
        <v>8</v>
      </c>
      <c r="D100">
        <f t="shared" si="21"/>
        <v>2030</v>
      </c>
      <c r="E100">
        <f t="shared" si="22"/>
        <v>3</v>
      </c>
      <c r="F100">
        <f t="shared" si="16"/>
        <v>0</v>
      </c>
      <c r="G100">
        <f t="shared" si="19"/>
        <v>0.49</v>
      </c>
      <c r="H100">
        <f t="shared" si="14"/>
        <v>0.49</v>
      </c>
      <c r="I100">
        <f t="shared" si="15"/>
        <v>0.49</v>
      </c>
      <c r="J100">
        <f t="shared" si="17"/>
        <v>56.530000000000058</v>
      </c>
      <c r="K100">
        <f t="shared" si="18"/>
        <v>0</v>
      </c>
    </row>
    <row r="101" spans="1:11" x14ac:dyDescent="0.25">
      <c r="A101" s="1">
        <v>47703</v>
      </c>
      <c r="B101">
        <f t="shared" si="10"/>
        <v>8</v>
      </c>
      <c r="C101">
        <f t="shared" si="20"/>
        <v>8</v>
      </c>
      <c r="D101">
        <f t="shared" si="21"/>
        <v>2030</v>
      </c>
      <c r="E101">
        <f t="shared" si="22"/>
        <v>4</v>
      </c>
      <c r="F101">
        <f t="shared" si="16"/>
        <v>0</v>
      </c>
      <c r="G101">
        <f t="shared" si="19"/>
        <v>0.49</v>
      </c>
      <c r="H101">
        <f t="shared" si="14"/>
        <v>0.49</v>
      </c>
      <c r="I101">
        <f t="shared" si="15"/>
        <v>0.49</v>
      </c>
      <c r="J101">
        <f t="shared" si="17"/>
        <v>57.02000000000006</v>
      </c>
      <c r="K101">
        <f t="shared" si="18"/>
        <v>0</v>
      </c>
    </row>
    <row r="102" spans="1:11" x14ac:dyDescent="0.25">
      <c r="A102" s="1">
        <v>47704</v>
      </c>
      <c r="B102">
        <f t="shared" si="10"/>
        <v>9</v>
      </c>
      <c r="C102">
        <f t="shared" si="20"/>
        <v>8</v>
      </c>
      <c r="D102">
        <f t="shared" si="21"/>
        <v>2030</v>
      </c>
      <c r="E102">
        <f t="shared" si="22"/>
        <v>5</v>
      </c>
      <c r="F102">
        <f t="shared" si="16"/>
        <v>0</v>
      </c>
      <c r="G102">
        <f t="shared" si="19"/>
        <v>0.49</v>
      </c>
      <c r="H102">
        <f t="shared" si="14"/>
        <v>0.49</v>
      </c>
      <c r="I102">
        <f t="shared" si="15"/>
        <v>0.49</v>
      </c>
      <c r="J102">
        <f t="shared" si="17"/>
        <v>57.510000000000062</v>
      </c>
      <c r="K102">
        <f t="shared" si="18"/>
        <v>0</v>
      </c>
    </row>
    <row r="103" spans="1:11" x14ac:dyDescent="0.25">
      <c r="A103" s="1">
        <v>47705</v>
      </c>
      <c r="B103">
        <f t="shared" si="10"/>
        <v>10</v>
      </c>
      <c r="C103">
        <f t="shared" si="20"/>
        <v>8</v>
      </c>
      <c r="D103">
        <f t="shared" si="21"/>
        <v>2030</v>
      </c>
      <c r="E103">
        <f t="shared" si="22"/>
        <v>6</v>
      </c>
      <c r="F103">
        <f t="shared" si="16"/>
        <v>0</v>
      </c>
      <c r="G103">
        <f t="shared" si="19"/>
        <v>0.49</v>
      </c>
      <c r="H103">
        <f t="shared" si="14"/>
        <v>0.49</v>
      </c>
      <c r="I103">
        <f t="shared" si="15"/>
        <v>0.49</v>
      </c>
      <c r="J103">
        <f t="shared" si="17"/>
        <v>58.000000000000064</v>
      </c>
      <c r="K103">
        <f t="shared" si="18"/>
        <v>0</v>
      </c>
    </row>
    <row r="104" spans="1:11" x14ac:dyDescent="0.25">
      <c r="A104" s="1">
        <v>47706</v>
      </c>
      <c r="B104">
        <f t="shared" si="10"/>
        <v>11</v>
      </c>
      <c r="C104">
        <f t="shared" si="20"/>
        <v>8</v>
      </c>
      <c r="D104">
        <f t="shared" si="21"/>
        <v>2030</v>
      </c>
      <c r="E104">
        <f t="shared" si="22"/>
        <v>7</v>
      </c>
      <c r="F104">
        <f t="shared" si="16"/>
        <v>0</v>
      </c>
      <c r="G104">
        <f t="shared" si="19"/>
        <v>0.49</v>
      </c>
      <c r="H104">
        <f t="shared" si="14"/>
        <v>0.49</v>
      </c>
      <c r="I104">
        <f t="shared" si="15"/>
        <v>0</v>
      </c>
      <c r="J104">
        <f t="shared" si="17"/>
        <v>58.000000000000064</v>
      </c>
      <c r="K104">
        <f t="shared" si="18"/>
        <v>0</v>
      </c>
    </row>
    <row r="105" spans="1:11" x14ac:dyDescent="0.25">
      <c r="A105" s="1">
        <v>47707</v>
      </c>
      <c r="B105">
        <f t="shared" si="10"/>
        <v>12</v>
      </c>
      <c r="C105">
        <f t="shared" si="20"/>
        <v>8</v>
      </c>
      <c r="D105">
        <f t="shared" si="21"/>
        <v>2030</v>
      </c>
      <c r="E105">
        <f t="shared" si="22"/>
        <v>1</v>
      </c>
      <c r="F105">
        <f t="shared" si="16"/>
        <v>0</v>
      </c>
      <c r="G105">
        <f t="shared" si="19"/>
        <v>0.49</v>
      </c>
      <c r="H105">
        <f t="shared" si="14"/>
        <v>0.49</v>
      </c>
      <c r="I105">
        <f t="shared" si="15"/>
        <v>0.49</v>
      </c>
      <c r="J105">
        <f t="shared" si="17"/>
        <v>58.490000000000066</v>
      </c>
      <c r="K105">
        <f t="shared" si="18"/>
        <v>0</v>
      </c>
    </row>
    <row r="106" spans="1:11" x14ac:dyDescent="0.25">
      <c r="A106" s="1">
        <v>47708</v>
      </c>
      <c r="B106">
        <f t="shared" si="10"/>
        <v>13</v>
      </c>
      <c r="C106">
        <f t="shared" si="20"/>
        <v>8</v>
      </c>
      <c r="D106">
        <f t="shared" si="21"/>
        <v>2030</v>
      </c>
      <c r="E106">
        <f t="shared" si="22"/>
        <v>2</v>
      </c>
      <c r="F106">
        <f t="shared" si="16"/>
        <v>0</v>
      </c>
      <c r="G106">
        <f t="shared" si="19"/>
        <v>0.49</v>
      </c>
      <c r="H106">
        <f t="shared" si="14"/>
        <v>0.49</v>
      </c>
      <c r="I106">
        <f t="shared" si="15"/>
        <v>0.49</v>
      </c>
      <c r="J106">
        <f t="shared" si="17"/>
        <v>58.980000000000068</v>
      </c>
      <c r="K106">
        <f t="shared" si="18"/>
        <v>0</v>
      </c>
    </row>
    <row r="107" spans="1:11" x14ac:dyDescent="0.25">
      <c r="A107" s="1">
        <v>47709</v>
      </c>
      <c r="B107">
        <f t="shared" si="10"/>
        <v>14</v>
      </c>
      <c r="C107">
        <f t="shared" si="20"/>
        <v>8</v>
      </c>
      <c r="D107">
        <f t="shared" si="21"/>
        <v>2030</v>
      </c>
      <c r="E107">
        <f t="shared" si="22"/>
        <v>3</v>
      </c>
      <c r="F107">
        <f t="shared" si="16"/>
        <v>0</v>
      </c>
      <c r="G107">
        <f t="shared" si="19"/>
        <v>0.49</v>
      </c>
      <c r="H107">
        <f t="shared" si="14"/>
        <v>0.49</v>
      </c>
      <c r="I107">
        <f t="shared" si="15"/>
        <v>0.49</v>
      </c>
      <c r="J107">
        <f t="shared" si="17"/>
        <v>59.47000000000007</v>
      </c>
      <c r="K107">
        <f t="shared" si="18"/>
        <v>0</v>
      </c>
    </row>
    <row r="108" spans="1:11" x14ac:dyDescent="0.25">
      <c r="A108" s="1">
        <v>47710</v>
      </c>
      <c r="B108">
        <f t="shared" si="10"/>
        <v>15</v>
      </c>
      <c r="C108">
        <f t="shared" si="20"/>
        <v>8</v>
      </c>
      <c r="D108">
        <f t="shared" si="21"/>
        <v>2030</v>
      </c>
      <c r="E108">
        <f t="shared" si="22"/>
        <v>4</v>
      </c>
      <c r="F108">
        <f t="shared" si="16"/>
        <v>0</v>
      </c>
      <c r="G108">
        <f t="shared" si="19"/>
        <v>0.49</v>
      </c>
      <c r="H108">
        <f t="shared" si="14"/>
        <v>0.49</v>
      </c>
      <c r="I108">
        <f t="shared" si="15"/>
        <v>0.49</v>
      </c>
      <c r="J108">
        <f t="shared" si="17"/>
        <v>59.960000000000072</v>
      </c>
      <c r="K108">
        <f t="shared" si="18"/>
        <v>0</v>
      </c>
    </row>
    <row r="109" spans="1:11" x14ac:dyDescent="0.25">
      <c r="A109" s="1">
        <v>47711</v>
      </c>
      <c r="B109">
        <f t="shared" si="10"/>
        <v>16</v>
      </c>
      <c r="C109">
        <f t="shared" si="20"/>
        <v>8</v>
      </c>
      <c r="D109">
        <f t="shared" si="21"/>
        <v>2030</v>
      </c>
      <c r="E109">
        <f t="shared" si="22"/>
        <v>5</v>
      </c>
      <c r="F109">
        <f t="shared" si="16"/>
        <v>0</v>
      </c>
      <c r="G109">
        <f t="shared" si="19"/>
        <v>0.49</v>
      </c>
      <c r="H109">
        <f t="shared" si="14"/>
        <v>0.49</v>
      </c>
      <c r="I109">
        <f t="shared" si="15"/>
        <v>0.49</v>
      </c>
      <c r="J109">
        <f t="shared" si="17"/>
        <v>60.450000000000074</v>
      </c>
      <c r="K109">
        <f t="shared" si="18"/>
        <v>0</v>
      </c>
    </row>
    <row r="110" spans="1:11" x14ac:dyDescent="0.25">
      <c r="A110" s="1">
        <v>47712</v>
      </c>
      <c r="B110">
        <f t="shared" si="10"/>
        <v>17</v>
      </c>
      <c r="C110">
        <f t="shared" ref="C110:C173" si="23">MONTH(A110)</f>
        <v>8</v>
      </c>
      <c r="D110">
        <f t="shared" ref="D110:D173" si="24">YEAR(A110)</f>
        <v>2030</v>
      </c>
      <c r="E110">
        <f t="shared" ref="E110:E173" si="25">WEEKDAY(A110,2)</f>
        <v>6</v>
      </c>
      <c r="F110">
        <f t="shared" si="16"/>
        <v>0</v>
      </c>
      <c r="G110">
        <f t="shared" si="19"/>
        <v>0.49</v>
      </c>
      <c r="H110">
        <f t="shared" si="14"/>
        <v>0.49</v>
      </c>
      <c r="I110">
        <f t="shared" si="15"/>
        <v>0.49</v>
      </c>
      <c r="J110">
        <f t="shared" si="17"/>
        <v>60.940000000000076</v>
      </c>
      <c r="K110">
        <f t="shared" si="18"/>
        <v>0</v>
      </c>
    </row>
    <row r="111" spans="1:11" x14ac:dyDescent="0.25">
      <c r="A111" s="1">
        <v>47713</v>
      </c>
      <c r="B111">
        <f t="shared" si="10"/>
        <v>18</v>
      </c>
      <c r="C111">
        <f t="shared" si="23"/>
        <v>8</v>
      </c>
      <c r="D111">
        <f t="shared" si="24"/>
        <v>2030</v>
      </c>
      <c r="E111">
        <f t="shared" si="25"/>
        <v>7</v>
      </c>
      <c r="F111">
        <f t="shared" si="16"/>
        <v>0</v>
      </c>
      <c r="G111">
        <f t="shared" si="19"/>
        <v>0.49</v>
      </c>
      <c r="H111">
        <f t="shared" si="14"/>
        <v>0.49</v>
      </c>
      <c r="I111">
        <f t="shared" si="15"/>
        <v>0</v>
      </c>
      <c r="J111">
        <f t="shared" si="17"/>
        <v>60.940000000000076</v>
      </c>
      <c r="K111">
        <f t="shared" si="18"/>
        <v>0</v>
      </c>
    </row>
    <row r="112" spans="1:11" x14ac:dyDescent="0.25">
      <c r="A112" s="1">
        <v>47714</v>
      </c>
      <c r="B112">
        <f t="shared" si="10"/>
        <v>19</v>
      </c>
      <c r="C112">
        <f t="shared" si="23"/>
        <v>8</v>
      </c>
      <c r="D112">
        <f t="shared" si="24"/>
        <v>2030</v>
      </c>
      <c r="E112">
        <f t="shared" si="25"/>
        <v>1</v>
      </c>
      <c r="F112">
        <f t="shared" si="16"/>
        <v>0</v>
      </c>
      <c r="G112">
        <f t="shared" si="19"/>
        <v>0.49</v>
      </c>
      <c r="H112">
        <f t="shared" si="14"/>
        <v>0.49</v>
      </c>
      <c r="I112">
        <f t="shared" si="15"/>
        <v>0.49</v>
      </c>
      <c r="J112">
        <f t="shared" si="17"/>
        <v>61.430000000000078</v>
      </c>
      <c r="K112">
        <f t="shared" si="18"/>
        <v>0</v>
      </c>
    </row>
    <row r="113" spans="1:11" x14ac:dyDescent="0.25">
      <c r="A113" s="1">
        <v>47715</v>
      </c>
      <c r="B113">
        <f t="shared" si="10"/>
        <v>20</v>
      </c>
      <c r="C113">
        <f t="shared" si="23"/>
        <v>8</v>
      </c>
      <c r="D113">
        <f t="shared" si="24"/>
        <v>2030</v>
      </c>
      <c r="E113">
        <f t="shared" si="25"/>
        <v>2</v>
      </c>
      <c r="F113">
        <f t="shared" si="16"/>
        <v>0</v>
      </c>
      <c r="G113">
        <f t="shared" si="19"/>
        <v>0.49</v>
      </c>
      <c r="H113">
        <f t="shared" si="14"/>
        <v>0.49</v>
      </c>
      <c r="I113">
        <f t="shared" si="15"/>
        <v>0.49</v>
      </c>
      <c r="J113">
        <f t="shared" si="17"/>
        <v>61.92000000000008</v>
      </c>
      <c r="K113">
        <f t="shared" si="18"/>
        <v>0</v>
      </c>
    </row>
    <row r="114" spans="1:11" x14ac:dyDescent="0.25">
      <c r="A114" s="1">
        <v>47716</v>
      </c>
      <c r="B114">
        <f t="shared" si="10"/>
        <v>21</v>
      </c>
      <c r="C114">
        <f t="shared" si="23"/>
        <v>8</v>
      </c>
      <c r="D114">
        <f t="shared" si="24"/>
        <v>2030</v>
      </c>
      <c r="E114">
        <f t="shared" si="25"/>
        <v>3</v>
      </c>
      <c r="F114">
        <f t="shared" si="16"/>
        <v>0</v>
      </c>
      <c r="G114">
        <f t="shared" si="19"/>
        <v>0.49</v>
      </c>
      <c r="H114">
        <f t="shared" si="14"/>
        <v>0.49</v>
      </c>
      <c r="I114">
        <f t="shared" si="15"/>
        <v>0.49</v>
      </c>
      <c r="J114">
        <f t="shared" si="17"/>
        <v>62.410000000000082</v>
      </c>
      <c r="K114">
        <f t="shared" si="18"/>
        <v>0</v>
      </c>
    </row>
    <row r="115" spans="1:11" x14ac:dyDescent="0.25">
      <c r="A115" s="1">
        <v>47717</v>
      </c>
      <c r="B115">
        <f t="shared" si="10"/>
        <v>22</v>
      </c>
      <c r="C115">
        <f t="shared" si="23"/>
        <v>8</v>
      </c>
      <c r="D115">
        <f t="shared" si="24"/>
        <v>2030</v>
      </c>
      <c r="E115">
        <f t="shared" si="25"/>
        <v>4</v>
      </c>
      <c r="F115">
        <f t="shared" si="16"/>
        <v>0</v>
      </c>
      <c r="G115">
        <f t="shared" si="19"/>
        <v>0.49</v>
      </c>
      <c r="H115">
        <f t="shared" si="14"/>
        <v>0.49</v>
      </c>
      <c r="I115">
        <f t="shared" si="15"/>
        <v>0.49</v>
      </c>
      <c r="J115">
        <f t="shared" si="17"/>
        <v>62.900000000000084</v>
      </c>
      <c r="K115">
        <f t="shared" si="18"/>
        <v>0</v>
      </c>
    </row>
    <row r="116" spans="1:11" x14ac:dyDescent="0.25">
      <c r="A116" s="1">
        <v>47718</v>
      </c>
      <c r="B116">
        <f t="shared" si="10"/>
        <v>23</v>
      </c>
      <c r="C116">
        <f t="shared" si="23"/>
        <v>8</v>
      </c>
      <c r="D116">
        <f t="shared" si="24"/>
        <v>2030</v>
      </c>
      <c r="E116">
        <f t="shared" si="25"/>
        <v>5</v>
      </c>
      <c r="F116">
        <f t="shared" si="16"/>
        <v>0</v>
      </c>
      <c r="G116">
        <f t="shared" si="19"/>
        <v>0.49</v>
      </c>
      <c r="H116">
        <f t="shared" si="14"/>
        <v>0.49</v>
      </c>
      <c r="I116">
        <f t="shared" si="15"/>
        <v>0.49</v>
      </c>
      <c r="J116">
        <f t="shared" si="17"/>
        <v>63.390000000000086</v>
      </c>
      <c r="K116">
        <f t="shared" si="18"/>
        <v>0</v>
      </c>
    </row>
    <row r="117" spans="1:11" x14ac:dyDescent="0.25">
      <c r="A117" s="1">
        <v>47719</v>
      </c>
      <c r="B117">
        <f t="shared" si="10"/>
        <v>24</v>
      </c>
      <c r="C117">
        <f t="shared" si="23"/>
        <v>8</v>
      </c>
      <c r="D117">
        <f t="shared" si="24"/>
        <v>2030</v>
      </c>
      <c r="E117">
        <f t="shared" si="25"/>
        <v>6</v>
      </c>
      <c r="F117">
        <f t="shared" si="16"/>
        <v>0</v>
      </c>
      <c r="G117">
        <f t="shared" si="19"/>
        <v>0.49</v>
      </c>
      <c r="H117">
        <f t="shared" si="14"/>
        <v>0.49</v>
      </c>
      <c r="I117">
        <f t="shared" si="15"/>
        <v>0.49</v>
      </c>
      <c r="J117">
        <f t="shared" si="17"/>
        <v>63.880000000000088</v>
      </c>
      <c r="K117">
        <f t="shared" si="18"/>
        <v>0</v>
      </c>
    </row>
    <row r="118" spans="1:11" x14ac:dyDescent="0.25">
      <c r="A118" s="1">
        <v>47720</v>
      </c>
      <c r="B118">
        <f t="shared" si="10"/>
        <v>25</v>
      </c>
      <c r="C118">
        <f t="shared" si="23"/>
        <v>8</v>
      </c>
      <c r="D118">
        <f t="shared" si="24"/>
        <v>2030</v>
      </c>
      <c r="E118">
        <f t="shared" si="25"/>
        <v>7</v>
      </c>
      <c r="F118">
        <f t="shared" si="16"/>
        <v>0</v>
      </c>
      <c r="G118">
        <f t="shared" si="19"/>
        <v>0.49</v>
      </c>
      <c r="H118">
        <f t="shared" si="14"/>
        <v>0.49</v>
      </c>
      <c r="I118">
        <f t="shared" si="15"/>
        <v>0</v>
      </c>
      <c r="J118">
        <f t="shared" si="17"/>
        <v>63.880000000000088</v>
      </c>
      <c r="K118">
        <f t="shared" si="18"/>
        <v>0</v>
      </c>
    </row>
    <row r="119" spans="1:11" x14ac:dyDescent="0.25">
      <c r="A119" s="1">
        <v>47721</v>
      </c>
      <c r="B119">
        <f t="shared" si="10"/>
        <v>26</v>
      </c>
      <c r="C119">
        <f t="shared" si="23"/>
        <v>8</v>
      </c>
      <c r="D119">
        <f t="shared" si="24"/>
        <v>2030</v>
      </c>
      <c r="E119">
        <f t="shared" si="25"/>
        <v>1</v>
      </c>
      <c r="F119">
        <f t="shared" si="16"/>
        <v>0</v>
      </c>
      <c r="G119">
        <f t="shared" si="19"/>
        <v>0.49</v>
      </c>
      <c r="H119">
        <f t="shared" si="14"/>
        <v>0.49</v>
      </c>
      <c r="I119">
        <f t="shared" si="15"/>
        <v>0.49</v>
      </c>
      <c r="J119">
        <f t="shared" si="17"/>
        <v>64.37000000000009</v>
      </c>
      <c r="K119">
        <f t="shared" si="18"/>
        <v>0</v>
      </c>
    </row>
    <row r="120" spans="1:11" x14ac:dyDescent="0.25">
      <c r="A120" s="1">
        <v>47722</v>
      </c>
      <c r="B120">
        <f t="shared" si="10"/>
        <v>27</v>
      </c>
      <c r="C120">
        <f t="shared" si="23"/>
        <v>8</v>
      </c>
      <c r="D120">
        <f t="shared" si="24"/>
        <v>2030</v>
      </c>
      <c r="E120">
        <f t="shared" si="25"/>
        <v>2</v>
      </c>
      <c r="F120">
        <f t="shared" si="16"/>
        <v>0</v>
      </c>
      <c r="G120">
        <f t="shared" si="19"/>
        <v>0.49</v>
      </c>
      <c r="H120">
        <f t="shared" si="14"/>
        <v>0.49</v>
      </c>
      <c r="I120">
        <f t="shared" si="15"/>
        <v>0.49</v>
      </c>
      <c r="J120">
        <f t="shared" si="17"/>
        <v>64.860000000000085</v>
      </c>
      <c r="K120">
        <f t="shared" si="18"/>
        <v>0</v>
      </c>
    </row>
    <row r="121" spans="1:11" x14ac:dyDescent="0.25">
      <c r="A121" s="1">
        <v>47723</v>
      </c>
      <c r="B121">
        <f t="shared" si="10"/>
        <v>28</v>
      </c>
      <c r="C121">
        <f t="shared" si="23"/>
        <v>8</v>
      </c>
      <c r="D121">
        <f t="shared" si="24"/>
        <v>2030</v>
      </c>
      <c r="E121">
        <f t="shared" si="25"/>
        <v>3</v>
      </c>
      <c r="F121">
        <f t="shared" si="16"/>
        <v>0</v>
      </c>
      <c r="G121">
        <f t="shared" si="19"/>
        <v>0.49</v>
      </c>
      <c r="H121">
        <f t="shared" si="14"/>
        <v>0.49</v>
      </c>
      <c r="I121">
        <f t="shared" si="15"/>
        <v>0.49</v>
      </c>
      <c r="J121">
        <f t="shared" si="17"/>
        <v>65.35000000000008</v>
      </c>
      <c r="K121">
        <f t="shared" si="18"/>
        <v>0</v>
      </c>
    </row>
    <row r="122" spans="1:11" x14ac:dyDescent="0.25">
      <c r="A122" s="1">
        <v>47724</v>
      </c>
      <c r="B122">
        <f t="shared" si="10"/>
        <v>29</v>
      </c>
      <c r="C122">
        <f t="shared" si="23"/>
        <v>8</v>
      </c>
      <c r="D122">
        <f t="shared" si="24"/>
        <v>2030</v>
      </c>
      <c r="E122">
        <f t="shared" si="25"/>
        <v>4</v>
      </c>
      <c r="F122">
        <f t="shared" si="16"/>
        <v>0</v>
      </c>
      <c r="G122">
        <f t="shared" si="19"/>
        <v>0.49</v>
      </c>
      <c r="H122">
        <f t="shared" si="14"/>
        <v>0.49</v>
      </c>
      <c r="I122">
        <f t="shared" si="15"/>
        <v>0.49</v>
      </c>
      <c r="J122">
        <f t="shared" si="17"/>
        <v>65.840000000000074</v>
      </c>
      <c r="K122">
        <f t="shared" si="18"/>
        <v>0</v>
      </c>
    </row>
    <row r="123" spans="1:11" x14ac:dyDescent="0.25">
      <c r="A123" s="1">
        <v>47725</v>
      </c>
      <c r="B123">
        <f t="shared" si="10"/>
        <v>30</v>
      </c>
      <c r="C123">
        <f t="shared" si="23"/>
        <v>8</v>
      </c>
      <c r="D123">
        <f t="shared" si="24"/>
        <v>2030</v>
      </c>
      <c r="E123">
        <f t="shared" si="25"/>
        <v>5</v>
      </c>
      <c r="F123">
        <f t="shared" si="16"/>
        <v>0</v>
      </c>
      <c r="G123">
        <f t="shared" si="19"/>
        <v>0.49</v>
      </c>
      <c r="H123">
        <f t="shared" si="14"/>
        <v>0.49</v>
      </c>
      <c r="I123">
        <f t="shared" si="15"/>
        <v>0.49</v>
      </c>
      <c r="J123">
        <f t="shared" si="17"/>
        <v>66.330000000000069</v>
      </c>
      <c r="K123">
        <f t="shared" si="18"/>
        <v>0</v>
      </c>
    </row>
    <row r="124" spans="1:11" x14ac:dyDescent="0.25">
      <c r="A124" s="1">
        <v>47726</v>
      </c>
      <c r="B124">
        <f t="shared" si="10"/>
        <v>31</v>
      </c>
      <c r="C124">
        <f t="shared" si="23"/>
        <v>8</v>
      </c>
      <c r="D124">
        <f t="shared" si="24"/>
        <v>2030</v>
      </c>
      <c r="E124">
        <f t="shared" si="25"/>
        <v>6</v>
      </c>
      <c r="F124">
        <f t="shared" si="16"/>
        <v>0</v>
      </c>
      <c r="G124">
        <f t="shared" si="19"/>
        <v>0.49</v>
      </c>
      <c r="H124">
        <f t="shared" si="14"/>
        <v>0.49</v>
      </c>
      <c r="I124">
        <f t="shared" si="15"/>
        <v>0.49</v>
      </c>
      <c r="J124">
        <f t="shared" si="17"/>
        <v>66.820000000000064</v>
      </c>
      <c r="K124">
        <f t="shared" si="18"/>
        <v>0</v>
      </c>
    </row>
    <row r="125" spans="1:11" x14ac:dyDescent="0.25">
      <c r="A125" s="1">
        <v>47727</v>
      </c>
      <c r="B125">
        <f t="shared" si="10"/>
        <v>1</v>
      </c>
      <c r="C125">
        <f t="shared" si="23"/>
        <v>9</v>
      </c>
      <c r="D125">
        <f t="shared" si="24"/>
        <v>2030</v>
      </c>
      <c r="E125">
        <f t="shared" si="25"/>
        <v>7</v>
      </c>
      <c r="F125">
        <f t="shared" si="16"/>
        <v>1</v>
      </c>
      <c r="G125">
        <f t="shared" si="19"/>
        <v>0.49</v>
      </c>
      <c r="H125">
        <f t="shared" si="14"/>
        <v>0.5635</v>
      </c>
      <c r="I125">
        <f t="shared" si="15"/>
        <v>0</v>
      </c>
      <c r="J125">
        <f t="shared" si="17"/>
        <v>66.820000000000064</v>
      </c>
      <c r="K125">
        <f t="shared" si="18"/>
        <v>0</v>
      </c>
    </row>
    <row r="126" spans="1:11" x14ac:dyDescent="0.25">
      <c r="A126" s="1">
        <v>47728</v>
      </c>
      <c r="B126">
        <f t="shared" si="10"/>
        <v>2</v>
      </c>
      <c r="C126">
        <f t="shared" si="23"/>
        <v>9</v>
      </c>
      <c r="D126">
        <f t="shared" si="24"/>
        <v>2030</v>
      </c>
      <c r="E126">
        <f t="shared" si="25"/>
        <v>1</v>
      </c>
      <c r="F126">
        <f t="shared" si="16"/>
        <v>0</v>
      </c>
      <c r="G126">
        <f t="shared" si="19"/>
        <v>0.49</v>
      </c>
      <c r="H126">
        <f t="shared" si="14"/>
        <v>0.49</v>
      </c>
      <c r="I126">
        <f t="shared" si="15"/>
        <v>0.49</v>
      </c>
      <c r="J126">
        <f t="shared" si="17"/>
        <v>67.310000000000059</v>
      </c>
      <c r="K126">
        <f t="shared" si="18"/>
        <v>0</v>
      </c>
    </row>
    <row r="127" spans="1:11" x14ac:dyDescent="0.25">
      <c r="A127" s="1">
        <v>47729</v>
      </c>
      <c r="B127">
        <f t="shared" si="10"/>
        <v>3</v>
      </c>
      <c r="C127">
        <f t="shared" si="23"/>
        <v>9</v>
      </c>
      <c r="D127">
        <f t="shared" si="24"/>
        <v>2030</v>
      </c>
      <c r="E127">
        <f t="shared" si="25"/>
        <v>2</v>
      </c>
      <c r="F127">
        <f t="shared" si="16"/>
        <v>0</v>
      </c>
      <c r="G127">
        <f t="shared" si="19"/>
        <v>0.49</v>
      </c>
      <c r="H127">
        <f t="shared" si="14"/>
        <v>0.49</v>
      </c>
      <c r="I127">
        <f t="shared" si="15"/>
        <v>0.49</v>
      </c>
      <c r="J127">
        <f t="shared" si="17"/>
        <v>67.800000000000054</v>
      </c>
      <c r="K127">
        <f t="shared" si="18"/>
        <v>0</v>
      </c>
    </row>
    <row r="128" spans="1:11" x14ac:dyDescent="0.25">
      <c r="A128" s="1">
        <v>47730</v>
      </c>
      <c r="B128">
        <f t="shared" si="10"/>
        <v>4</v>
      </c>
      <c r="C128">
        <f t="shared" si="23"/>
        <v>9</v>
      </c>
      <c r="D128">
        <f t="shared" si="24"/>
        <v>2030</v>
      </c>
      <c r="E128">
        <f t="shared" si="25"/>
        <v>3</v>
      </c>
      <c r="F128">
        <f t="shared" si="16"/>
        <v>0</v>
      </c>
      <c r="G128">
        <f t="shared" si="19"/>
        <v>0.49</v>
      </c>
      <c r="H128">
        <f t="shared" si="14"/>
        <v>0.49</v>
      </c>
      <c r="I128">
        <f t="shared" si="15"/>
        <v>0.49</v>
      </c>
      <c r="J128">
        <f t="shared" si="17"/>
        <v>68.290000000000049</v>
      </c>
      <c r="K128">
        <f t="shared" si="18"/>
        <v>0</v>
      </c>
    </row>
    <row r="129" spans="1:11" x14ac:dyDescent="0.25">
      <c r="A129" s="1">
        <v>47731</v>
      </c>
      <c r="B129">
        <f t="shared" si="10"/>
        <v>5</v>
      </c>
      <c r="C129">
        <f t="shared" si="23"/>
        <v>9</v>
      </c>
      <c r="D129">
        <f t="shared" si="24"/>
        <v>2030</v>
      </c>
      <c r="E129">
        <f t="shared" si="25"/>
        <v>4</v>
      </c>
      <c r="F129">
        <f t="shared" si="16"/>
        <v>0</v>
      </c>
      <c r="G129">
        <f t="shared" si="19"/>
        <v>0.49</v>
      </c>
      <c r="H129">
        <f t="shared" si="14"/>
        <v>0.49</v>
      </c>
      <c r="I129">
        <f t="shared" si="15"/>
        <v>0.49</v>
      </c>
      <c r="J129">
        <f t="shared" si="17"/>
        <v>68.780000000000044</v>
      </c>
      <c r="K129">
        <f t="shared" si="18"/>
        <v>0</v>
      </c>
    </row>
    <row r="130" spans="1:11" x14ac:dyDescent="0.25">
      <c r="A130" s="1">
        <v>47732</v>
      </c>
      <c r="B130">
        <f t="shared" si="10"/>
        <v>6</v>
      </c>
      <c r="C130">
        <f t="shared" si="23"/>
        <v>9</v>
      </c>
      <c r="D130">
        <f t="shared" si="24"/>
        <v>2030</v>
      </c>
      <c r="E130">
        <f t="shared" si="25"/>
        <v>5</v>
      </c>
      <c r="F130">
        <f t="shared" si="16"/>
        <v>0</v>
      </c>
      <c r="G130">
        <f t="shared" si="19"/>
        <v>0.49</v>
      </c>
      <c r="H130">
        <f t="shared" si="14"/>
        <v>0.49</v>
      </c>
      <c r="I130">
        <f t="shared" si="15"/>
        <v>0.49</v>
      </c>
      <c r="J130">
        <f t="shared" si="17"/>
        <v>69.270000000000039</v>
      </c>
      <c r="K130">
        <f t="shared" si="18"/>
        <v>0</v>
      </c>
    </row>
    <row r="131" spans="1:11" x14ac:dyDescent="0.25">
      <c r="A131" s="1">
        <v>47733</v>
      </c>
      <c r="B131">
        <f t="shared" ref="B131:B194" si="26">DAY(A131)</f>
        <v>7</v>
      </c>
      <c r="C131">
        <f t="shared" si="23"/>
        <v>9</v>
      </c>
      <c r="D131">
        <f t="shared" si="24"/>
        <v>2030</v>
      </c>
      <c r="E131">
        <f t="shared" si="25"/>
        <v>6</v>
      </c>
      <c r="F131">
        <f t="shared" si="16"/>
        <v>0</v>
      </c>
      <c r="G131">
        <f t="shared" si="19"/>
        <v>0.49</v>
      </c>
      <c r="H131">
        <f t="shared" ref="H131:H194" si="27">IF(F131=1,G131+G131*0.15,G131)</f>
        <v>0.49</v>
      </c>
      <c r="I131">
        <f t="shared" ref="I131:I194" si="28">IF(AND(F131=0,E131&lt;&gt;7),H131,0)</f>
        <v>0.49</v>
      </c>
      <c r="J131">
        <f t="shared" si="17"/>
        <v>69.760000000000034</v>
      </c>
      <c r="K131">
        <f t="shared" si="18"/>
        <v>0</v>
      </c>
    </row>
    <row r="132" spans="1:11" x14ac:dyDescent="0.25">
      <c r="A132" s="1">
        <v>47734</v>
      </c>
      <c r="B132">
        <f t="shared" si="26"/>
        <v>8</v>
      </c>
      <c r="C132">
        <f t="shared" si="23"/>
        <v>9</v>
      </c>
      <c r="D132">
        <f t="shared" si="24"/>
        <v>2030</v>
      </c>
      <c r="E132">
        <f t="shared" si="25"/>
        <v>7</v>
      </c>
      <c r="F132">
        <f t="shared" ref="F132:F195" si="29">IF(B132=1,1,0)</f>
        <v>0</v>
      </c>
      <c r="G132">
        <f t="shared" si="19"/>
        <v>0.49</v>
      </c>
      <c r="H132">
        <f t="shared" si="27"/>
        <v>0.49</v>
      </c>
      <c r="I132">
        <f t="shared" si="28"/>
        <v>0</v>
      </c>
      <c r="J132">
        <f t="shared" ref="J132:J195" si="30">J131+I132</f>
        <v>69.760000000000034</v>
      </c>
      <c r="K132">
        <f t="shared" ref="K132:K195" si="31">IF(AND(I132=0,I131=0),1,0)</f>
        <v>0</v>
      </c>
    </row>
    <row r="133" spans="1:11" x14ac:dyDescent="0.25">
      <c r="A133" s="1">
        <v>47735</v>
      </c>
      <c r="B133">
        <f t="shared" si="26"/>
        <v>9</v>
      </c>
      <c r="C133">
        <f t="shared" si="23"/>
        <v>9</v>
      </c>
      <c r="D133">
        <f t="shared" si="24"/>
        <v>2030</v>
      </c>
      <c r="E133">
        <f t="shared" si="25"/>
        <v>1</v>
      </c>
      <c r="F133">
        <f t="shared" si="29"/>
        <v>0</v>
      </c>
      <c r="G133">
        <f t="shared" si="19"/>
        <v>0.49</v>
      </c>
      <c r="H133">
        <f t="shared" si="27"/>
        <v>0.49</v>
      </c>
      <c r="I133">
        <f t="shared" si="28"/>
        <v>0.49</v>
      </c>
      <c r="J133">
        <f t="shared" si="30"/>
        <v>70.250000000000028</v>
      </c>
      <c r="K133">
        <f t="shared" si="31"/>
        <v>0</v>
      </c>
    </row>
    <row r="134" spans="1:11" x14ac:dyDescent="0.25">
      <c r="A134" s="1">
        <v>47736</v>
      </c>
      <c r="B134">
        <f t="shared" si="26"/>
        <v>10</v>
      </c>
      <c r="C134">
        <f t="shared" si="23"/>
        <v>9</v>
      </c>
      <c r="D134">
        <f t="shared" si="24"/>
        <v>2030</v>
      </c>
      <c r="E134">
        <f t="shared" si="25"/>
        <v>2</v>
      </c>
      <c r="F134">
        <f t="shared" si="29"/>
        <v>0</v>
      </c>
      <c r="G134">
        <f t="shared" si="19"/>
        <v>0.49</v>
      </c>
      <c r="H134">
        <f t="shared" si="27"/>
        <v>0.49</v>
      </c>
      <c r="I134">
        <f t="shared" si="28"/>
        <v>0.49</v>
      </c>
      <c r="J134">
        <f t="shared" si="30"/>
        <v>70.740000000000023</v>
      </c>
      <c r="K134">
        <f t="shared" si="31"/>
        <v>0</v>
      </c>
    </row>
    <row r="135" spans="1:11" x14ac:dyDescent="0.25">
      <c r="A135" s="1">
        <v>47737</v>
      </c>
      <c r="B135">
        <f t="shared" si="26"/>
        <v>11</v>
      </c>
      <c r="C135">
        <f t="shared" si="23"/>
        <v>9</v>
      </c>
      <c r="D135">
        <f t="shared" si="24"/>
        <v>2030</v>
      </c>
      <c r="E135">
        <f t="shared" si="25"/>
        <v>3</v>
      </c>
      <c r="F135">
        <f t="shared" si="29"/>
        <v>0</v>
      </c>
      <c r="G135">
        <f t="shared" si="19"/>
        <v>0.49</v>
      </c>
      <c r="H135">
        <f t="shared" si="27"/>
        <v>0.49</v>
      </c>
      <c r="I135">
        <f t="shared" si="28"/>
        <v>0.49</v>
      </c>
      <c r="J135">
        <f t="shared" si="30"/>
        <v>71.230000000000018</v>
      </c>
      <c r="K135">
        <f t="shared" si="31"/>
        <v>0</v>
      </c>
    </row>
    <row r="136" spans="1:11" x14ac:dyDescent="0.25">
      <c r="A136" s="1">
        <v>47738</v>
      </c>
      <c r="B136">
        <f t="shared" si="26"/>
        <v>12</v>
      </c>
      <c r="C136">
        <f t="shared" si="23"/>
        <v>9</v>
      </c>
      <c r="D136">
        <f t="shared" si="24"/>
        <v>2030</v>
      </c>
      <c r="E136">
        <f t="shared" si="25"/>
        <v>4</v>
      </c>
      <c r="F136">
        <f t="shared" si="29"/>
        <v>0</v>
      </c>
      <c r="G136">
        <f t="shared" si="19"/>
        <v>0.49</v>
      </c>
      <c r="H136">
        <f t="shared" si="27"/>
        <v>0.49</v>
      </c>
      <c r="I136">
        <f t="shared" si="28"/>
        <v>0.49</v>
      </c>
      <c r="J136">
        <f t="shared" si="30"/>
        <v>71.720000000000013</v>
      </c>
      <c r="K136">
        <f t="shared" si="31"/>
        <v>0</v>
      </c>
    </row>
    <row r="137" spans="1:11" x14ac:dyDescent="0.25">
      <c r="A137" s="1">
        <v>47739</v>
      </c>
      <c r="B137">
        <f t="shared" si="26"/>
        <v>13</v>
      </c>
      <c r="C137">
        <f t="shared" si="23"/>
        <v>9</v>
      </c>
      <c r="D137">
        <f t="shared" si="24"/>
        <v>2030</v>
      </c>
      <c r="E137">
        <f t="shared" si="25"/>
        <v>5</v>
      </c>
      <c r="F137">
        <f t="shared" si="29"/>
        <v>0</v>
      </c>
      <c r="G137">
        <f t="shared" si="19"/>
        <v>0.49</v>
      </c>
      <c r="H137">
        <f t="shared" si="27"/>
        <v>0.49</v>
      </c>
      <c r="I137">
        <f t="shared" si="28"/>
        <v>0.49</v>
      </c>
      <c r="J137">
        <f t="shared" si="30"/>
        <v>72.210000000000008</v>
      </c>
      <c r="K137">
        <f t="shared" si="31"/>
        <v>0</v>
      </c>
    </row>
    <row r="138" spans="1:11" x14ac:dyDescent="0.25">
      <c r="A138" s="1">
        <v>47740</v>
      </c>
      <c r="B138">
        <f t="shared" si="26"/>
        <v>14</v>
      </c>
      <c r="C138">
        <f t="shared" si="23"/>
        <v>9</v>
      </c>
      <c r="D138">
        <f t="shared" si="24"/>
        <v>2030</v>
      </c>
      <c r="E138">
        <f t="shared" si="25"/>
        <v>6</v>
      </c>
      <c r="F138">
        <f t="shared" si="29"/>
        <v>0</v>
      </c>
      <c r="G138">
        <f t="shared" si="19"/>
        <v>0.49</v>
      </c>
      <c r="H138">
        <f t="shared" si="27"/>
        <v>0.49</v>
      </c>
      <c r="I138">
        <f t="shared" si="28"/>
        <v>0.49</v>
      </c>
      <c r="J138">
        <f t="shared" si="30"/>
        <v>72.7</v>
      </c>
      <c r="K138">
        <f t="shared" si="31"/>
        <v>0</v>
      </c>
    </row>
    <row r="139" spans="1:11" x14ac:dyDescent="0.25">
      <c r="A139" s="1">
        <v>47741</v>
      </c>
      <c r="B139">
        <f t="shared" si="26"/>
        <v>15</v>
      </c>
      <c r="C139">
        <f t="shared" si="23"/>
        <v>9</v>
      </c>
      <c r="D139">
        <f t="shared" si="24"/>
        <v>2030</v>
      </c>
      <c r="E139">
        <f t="shared" si="25"/>
        <v>7</v>
      </c>
      <c r="F139">
        <f t="shared" si="29"/>
        <v>0</v>
      </c>
      <c r="G139">
        <f t="shared" si="19"/>
        <v>0.49</v>
      </c>
      <c r="H139">
        <f t="shared" si="27"/>
        <v>0.49</v>
      </c>
      <c r="I139">
        <f t="shared" si="28"/>
        <v>0</v>
      </c>
      <c r="J139">
        <f t="shared" si="30"/>
        <v>72.7</v>
      </c>
      <c r="K139">
        <f t="shared" si="31"/>
        <v>0</v>
      </c>
    </row>
    <row r="140" spans="1:11" x14ac:dyDescent="0.25">
      <c r="A140" s="1">
        <v>47742</v>
      </c>
      <c r="B140">
        <f t="shared" si="26"/>
        <v>16</v>
      </c>
      <c r="C140">
        <f t="shared" si="23"/>
        <v>9</v>
      </c>
      <c r="D140">
        <f t="shared" si="24"/>
        <v>2030</v>
      </c>
      <c r="E140">
        <f t="shared" si="25"/>
        <v>1</v>
      </c>
      <c r="F140">
        <f t="shared" si="29"/>
        <v>0</v>
      </c>
      <c r="G140">
        <f t="shared" si="19"/>
        <v>0.49</v>
      </c>
      <c r="H140">
        <f t="shared" si="27"/>
        <v>0.49</v>
      </c>
      <c r="I140">
        <f t="shared" si="28"/>
        <v>0.49</v>
      </c>
      <c r="J140">
        <f t="shared" si="30"/>
        <v>73.19</v>
      </c>
      <c r="K140">
        <f t="shared" si="31"/>
        <v>0</v>
      </c>
    </row>
    <row r="141" spans="1:11" x14ac:dyDescent="0.25">
      <c r="A141" s="1">
        <v>47743</v>
      </c>
      <c r="B141">
        <f t="shared" si="26"/>
        <v>17</v>
      </c>
      <c r="C141">
        <f t="shared" si="23"/>
        <v>9</v>
      </c>
      <c r="D141">
        <f t="shared" si="24"/>
        <v>2030</v>
      </c>
      <c r="E141">
        <f t="shared" si="25"/>
        <v>2</v>
      </c>
      <c r="F141">
        <f t="shared" si="29"/>
        <v>0</v>
      </c>
      <c r="G141">
        <f t="shared" si="19"/>
        <v>0.49</v>
      </c>
      <c r="H141">
        <f t="shared" si="27"/>
        <v>0.49</v>
      </c>
      <c r="I141">
        <f t="shared" si="28"/>
        <v>0.49</v>
      </c>
      <c r="J141">
        <f t="shared" si="30"/>
        <v>73.679999999999993</v>
      </c>
      <c r="K141">
        <f t="shared" si="31"/>
        <v>0</v>
      </c>
    </row>
    <row r="142" spans="1:11" x14ac:dyDescent="0.25">
      <c r="A142" s="1">
        <v>47744</v>
      </c>
      <c r="B142">
        <f t="shared" si="26"/>
        <v>18</v>
      </c>
      <c r="C142">
        <f t="shared" si="23"/>
        <v>9</v>
      </c>
      <c r="D142">
        <f t="shared" si="24"/>
        <v>2030</v>
      </c>
      <c r="E142">
        <f t="shared" si="25"/>
        <v>3</v>
      </c>
      <c r="F142">
        <f t="shared" si="29"/>
        <v>0</v>
      </c>
      <c r="G142">
        <f t="shared" si="19"/>
        <v>0.49</v>
      </c>
      <c r="H142">
        <f t="shared" si="27"/>
        <v>0.49</v>
      </c>
      <c r="I142">
        <f t="shared" si="28"/>
        <v>0.49</v>
      </c>
      <c r="J142">
        <f t="shared" si="30"/>
        <v>74.169999999999987</v>
      </c>
      <c r="K142">
        <f t="shared" si="31"/>
        <v>0</v>
      </c>
    </row>
    <row r="143" spans="1:11" x14ac:dyDescent="0.25">
      <c r="A143" s="1">
        <v>47745</v>
      </c>
      <c r="B143">
        <f t="shared" si="26"/>
        <v>19</v>
      </c>
      <c r="C143">
        <f t="shared" si="23"/>
        <v>9</v>
      </c>
      <c r="D143">
        <f t="shared" si="24"/>
        <v>2030</v>
      </c>
      <c r="E143">
        <f t="shared" si="25"/>
        <v>4</v>
      </c>
      <c r="F143">
        <f t="shared" si="29"/>
        <v>0</v>
      </c>
      <c r="G143">
        <f t="shared" si="19"/>
        <v>0.49</v>
      </c>
      <c r="H143">
        <f t="shared" si="27"/>
        <v>0.49</v>
      </c>
      <c r="I143">
        <f t="shared" si="28"/>
        <v>0.49</v>
      </c>
      <c r="J143">
        <f t="shared" si="30"/>
        <v>74.659999999999982</v>
      </c>
      <c r="K143">
        <f t="shared" si="31"/>
        <v>0</v>
      </c>
    </row>
    <row r="144" spans="1:11" x14ac:dyDescent="0.25">
      <c r="A144" s="1">
        <v>47746</v>
      </c>
      <c r="B144">
        <f t="shared" si="26"/>
        <v>20</v>
      </c>
      <c r="C144">
        <f t="shared" si="23"/>
        <v>9</v>
      </c>
      <c r="D144">
        <f t="shared" si="24"/>
        <v>2030</v>
      </c>
      <c r="E144">
        <f t="shared" si="25"/>
        <v>5</v>
      </c>
      <c r="F144">
        <f t="shared" si="29"/>
        <v>0</v>
      </c>
      <c r="G144">
        <f t="shared" si="19"/>
        <v>0.49</v>
      </c>
      <c r="H144">
        <f t="shared" si="27"/>
        <v>0.49</v>
      </c>
      <c r="I144">
        <f t="shared" si="28"/>
        <v>0.49</v>
      </c>
      <c r="J144">
        <f t="shared" si="30"/>
        <v>75.149999999999977</v>
      </c>
      <c r="K144">
        <f t="shared" si="31"/>
        <v>0</v>
      </c>
    </row>
    <row r="145" spans="1:11" x14ac:dyDescent="0.25">
      <c r="A145" s="1">
        <v>47747</v>
      </c>
      <c r="B145">
        <f t="shared" si="26"/>
        <v>21</v>
      </c>
      <c r="C145">
        <f t="shared" si="23"/>
        <v>9</v>
      </c>
      <c r="D145">
        <f t="shared" si="24"/>
        <v>2030</v>
      </c>
      <c r="E145">
        <f t="shared" si="25"/>
        <v>6</v>
      </c>
      <c r="F145">
        <f t="shared" si="29"/>
        <v>0</v>
      </c>
      <c r="G145">
        <f t="shared" ref="G145:G208" si="32">IF(G144&lt;&gt;0,ROUNDUP(G144*0.98,2),ROUNDUP(G143*0.98,2))</f>
        <v>0.49</v>
      </c>
      <c r="H145">
        <f t="shared" si="27"/>
        <v>0.49</v>
      </c>
      <c r="I145">
        <f t="shared" si="28"/>
        <v>0.49</v>
      </c>
      <c r="J145">
        <f t="shared" si="30"/>
        <v>75.639999999999972</v>
      </c>
      <c r="K145">
        <f t="shared" si="31"/>
        <v>0</v>
      </c>
    </row>
    <row r="146" spans="1:11" x14ac:dyDescent="0.25">
      <c r="A146" s="1">
        <v>47748</v>
      </c>
      <c r="B146">
        <f t="shared" si="26"/>
        <v>22</v>
      </c>
      <c r="C146">
        <f t="shared" si="23"/>
        <v>9</v>
      </c>
      <c r="D146">
        <f t="shared" si="24"/>
        <v>2030</v>
      </c>
      <c r="E146">
        <f t="shared" si="25"/>
        <v>7</v>
      </c>
      <c r="F146">
        <f t="shared" si="29"/>
        <v>0</v>
      </c>
      <c r="G146">
        <f t="shared" si="32"/>
        <v>0.49</v>
      </c>
      <c r="H146">
        <f t="shared" si="27"/>
        <v>0.49</v>
      </c>
      <c r="I146">
        <f t="shared" si="28"/>
        <v>0</v>
      </c>
      <c r="J146">
        <f t="shared" si="30"/>
        <v>75.639999999999972</v>
      </c>
      <c r="K146">
        <f t="shared" si="31"/>
        <v>0</v>
      </c>
    </row>
    <row r="147" spans="1:11" x14ac:dyDescent="0.25">
      <c r="A147" s="1">
        <v>47749</v>
      </c>
      <c r="B147">
        <f t="shared" si="26"/>
        <v>23</v>
      </c>
      <c r="C147">
        <f t="shared" si="23"/>
        <v>9</v>
      </c>
      <c r="D147">
        <f t="shared" si="24"/>
        <v>2030</v>
      </c>
      <c r="E147">
        <f t="shared" si="25"/>
        <v>1</v>
      </c>
      <c r="F147">
        <f t="shared" si="29"/>
        <v>0</v>
      </c>
      <c r="G147">
        <f t="shared" si="32"/>
        <v>0.49</v>
      </c>
      <c r="H147">
        <f t="shared" si="27"/>
        <v>0.49</v>
      </c>
      <c r="I147">
        <f t="shared" si="28"/>
        <v>0.49</v>
      </c>
      <c r="J147">
        <f t="shared" si="30"/>
        <v>76.129999999999967</v>
      </c>
      <c r="K147">
        <f t="shared" si="31"/>
        <v>0</v>
      </c>
    </row>
    <row r="148" spans="1:11" x14ac:dyDescent="0.25">
      <c r="A148" s="1">
        <v>47750</v>
      </c>
      <c r="B148">
        <f t="shared" si="26"/>
        <v>24</v>
      </c>
      <c r="C148">
        <f t="shared" si="23"/>
        <v>9</v>
      </c>
      <c r="D148">
        <f t="shared" si="24"/>
        <v>2030</v>
      </c>
      <c r="E148">
        <f t="shared" si="25"/>
        <v>2</v>
      </c>
      <c r="F148">
        <f t="shared" si="29"/>
        <v>0</v>
      </c>
      <c r="G148">
        <f t="shared" si="32"/>
        <v>0.49</v>
      </c>
      <c r="H148">
        <f t="shared" si="27"/>
        <v>0.49</v>
      </c>
      <c r="I148">
        <f t="shared" si="28"/>
        <v>0.49</v>
      </c>
      <c r="J148">
        <f t="shared" si="30"/>
        <v>76.619999999999962</v>
      </c>
      <c r="K148">
        <f t="shared" si="31"/>
        <v>0</v>
      </c>
    </row>
    <row r="149" spans="1:11" x14ac:dyDescent="0.25">
      <c r="A149" s="1">
        <v>47751</v>
      </c>
      <c r="B149">
        <f t="shared" si="26"/>
        <v>25</v>
      </c>
      <c r="C149">
        <f t="shared" si="23"/>
        <v>9</v>
      </c>
      <c r="D149">
        <f t="shared" si="24"/>
        <v>2030</v>
      </c>
      <c r="E149">
        <f t="shared" si="25"/>
        <v>3</v>
      </c>
      <c r="F149">
        <f t="shared" si="29"/>
        <v>0</v>
      </c>
      <c r="G149">
        <f t="shared" si="32"/>
        <v>0.49</v>
      </c>
      <c r="H149">
        <f t="shared" si="27"/>
        <v>0.49</v>
      </c>
      <c r="I149">
        <f t="shared" si="28"/>
        <v>0.49</v>
      </c>
      <c r="J149">
        <f t="shared" si="30"/>
        <v>77.109999999999957</v>
      </c>
      <c r="K149">
        <f t="shared" si="31"/>
        <v>0</v>
      </c>
    </row>
    <row r="150" spans="1:11" x14ac:dyDescent="0.25">
      <c r="A150" s="1">
        <v>47752</v>
      </c>
      <c r="B150">
        <f t="shared" si="26"/>
        <v>26</v>
      </c>
      <c r="C150">
        <f t="shared" si="23"/>
        <v>9</v>
      </c>
      <c r="D150">
        <f t="shared" si="24"/>
        <v>2030</v>
      </c>
      <c r="E150">
        <f t="shared" si="25"/>
        <v>4</v>
      </c>
      <c r="F150">
        <f t="shared" si="29"/>
        <v>0</v>
      </c>
      <c r="G150">
        <f t="shared" si="32"/>
        <v>0.49</v>
      </c>
      <c r="H150">
        <f t="shared" si="27"/>
        <v>0.49</v>
      </c>
      <c r="I150">
        <f t="shared" si="28"/>
        <v>0.49</v>
      </c>
      <c r="J150">
        <f t="shared" si="30"/>
        <v>77.599999999999952</v>
      </c>
      <c r="K150">
        <f t="shared" si="31"/>
        <v>0</v>
      </c>
    </row>
    <row r="151" spans="1:11" x14ac:dyDescent="0.25">
      <c r="A151" s="1">
        <v>47753</v>
      </c>
      <c r="B151">
        <f t="shared" si="26"/>
        <v>27</v>
      </c>
      <c r="C151">
        <f t="shared" si="23"/>
        <v>9</v>
      </c>
      <c r="D151">
        <f t="shared" si="24"/>
        <v>2030</v>
      </c>
      <c r="E151">
        <f t="shared" si="25"/>
        <v>5</v>
      </c>
      <c r="F151">
        <f t="shared" si="29"/>
        <v>0</v>
      </c>
      <c r="G151">
        <f t="shared" si="32"/>
        <v>0.49</v>
      </c>
      <c r="H151">
        <f t="shared" si="27"/>
        <v>0.49</v>
      </c>
      <c r="I151">
        <f t="shared" si="28"/>
        <v>0.49</v>
      </c>
      <c r="J151">
        <f t="shared" si="30"/>
        <v>78.089999999999947</v>
      </c>
      <c r="K151">
        <f t="shared" si="31"/>
        <v>0</v>
      </c>
    </row>
    <row r="152" spans="1:11" x14ac:dyDescent="0.25">
      <c r="A152" s="1">
        <v>47754</v>
      </c>
      <c r="B152">
        <f t="shared" si="26"/>
        <v>28</v>
      </c>
      <c r="C152">
        <f t="shared" si="23"/>
        <v>9</v>
      </c>
      <c r="D152">
        <f t="shared" si="24"/>
        <v>2030</v>
      </c>
      <c r="E152">
        <f t="shared" si="25"/>
        <v>6</v>
      </c>
      <c r="F152">
        <f t="shared" si="29"/>
        <v>0</v>
      </c>
      <c r="G152">
        <f t="shared" si="32"/>
        <v>0.49</v>
      </c>
      <c r="H152">
        <f t="shared" si="27"/>
        <v>0.49</v>
      </c>
      <c r="I152">
        <f t="shared" si="28"/>
        <v>0.49</v>
      </c>
      <c r="J152">
        <f t="shared" si="30"/>
        <v>78.579999999999941</v>
      </c>
      <c r="K152">
        <f t="shared" si="31"/>
        <v>0</v>
      </c>
    </row>
    <row r="153" spans="1:11" x14ac:dyDescent="0.25">
      <c r="A153" s="1">
        <v>47755</v>
      </c>
      <c r="B153">
        <f t="shared" si="26"/>
        <v>29</v>
      </c>
      <c r="C153">
        <f t="shared" si="23"/>
        <v>9</v>
      </c>
      <c r="D153">
        <f t="shared" si="24"/>
        <v>2030</v>
      </c>
      <c r="E153">
        <f t="shared" si="25"/>
        <v>7</v>
      </c>
      <c r="F153">
        <f t="shared" si="29"/>
        <v>0</v>
      </c>
      <c r="G153">
        <f t="shared" si="32"/>
        <v>0.49</v>
      </c>
      <c r="H153">
        <f t="shared" si="27"/>
        <v>0.49</v>
      </c>
      <c r="I153">
        <f t="shared" si="28"/>
        <v>0</v>
      </c>
      <c r="J153">
        <f t="shared" si="30"/>
        <v>78.579999999999941</v>
      </c>
      <c r="K153">
        <f t="shared" si="31"/>
        <v>0</v>
      </c>
    </row>
    <row r="154" spans="1:11" x14ac:dyDescent="0.25">
      <c r="A154" s="1">
        <v>47756</v>
      </c>
      <c r="B154">
        <f t="shared" si="26"/>
        <v>30</v>
      </c>
      <c r="C154">
        <f t="shared" si="23"/>
        <v>9</v>
      </c>
      <c r="D154">
        <f t="shared" si="24"/>
        <v>2030</v>
      </c>
      <c r="E154">
        <f t="shared" si="25"/>
        <v>1</v>
      </c>
      <c r="F154">
        <f t="shared" si="29"/>
        <v>0</v>
      </c>
      <c r="G154">
        <f t="shared" si="32"/>
        <v>0.49</v>
      </c>
      <c r="H154">
        <f t="shared" si="27"/>
        <v>0.49</v>
      </c>
      <c r="I154">
        <f t="shared" si="28"/>
        <v>0.49</v>
      </c>
      <c r="J154">
        <f t="shared" si="30"/>
        <v>79.069999999999936</v>
      </c>
      <c r="K154">
        <f t="shared" si="31"/>
        <v>0</v>
      </c>
    </row>
    <row r="155" spans="1:11" x14ac:dyDescent="0.25">
      <c r="A155" s="1">
        <v>47757</v>
      </c>
      <c r="B155">
        <f t="shared" si="26"/>
        <v>1</v>
      </c>
      <c r="C155">
        <f t="shared" si="23"/>
        <v>10</v>
      </c>
      <c r="D155">
        <f t="shared" si="24"/>
        <v>2030</v>
      </c>
      <c r="E155">
        <f t="shared" si="25"/>
        <v>2</v>
      </c>
      <c r="F155">
        <f t="shared" si="29"/>
        <v>1</v>
      </c>
      <c r="G155">
        <f t="shared" si="32"/>
        <v>0.49</v>
      </c>
      <c r="H155">
        <f t="shared" si="27"/>
        <v>0.5635</v>
      </c>
      <c r="I155">
        <f t="shared" si="28"/>
        <v>0</v>
      </c>
      <c r="J155">
        <f t="shared" si="30"/>
        <v>79.069999999999936</v>
      </c>
      <c r="K155">
        <f t="shared" si="31"/>
        <v>0</v>
      </c>
    </row>
    <row r="156" spans="1:11" x14ac:dyDescent="0.25">
      <c r="A156" s="1">
        <v>47758</v>
      </c>
      <c r="B156">
        <f t="shared" si="26"/>
        <v>2</v>
      </c>
      <c r="C156">
        <f t="shared" si="23"/>
        <v>10</v>
      </c>
      <c r="D156">
        <f t="shared" si="24"/>
        <v>2030</v>
      </c>
      <c r="E156">
        <f t="shared" si="25"/>
        <v>3</v>
      </c>
      <c r="F156">
        <f t="shared" si="29"/>
        <v>0</v>
      </c>
      <c r="G156">
        <f t="shared" si="32"/>
        <v>0.49</v>
      </c>
      <c r="H156">
        <f t="shared" si="27"/>
        <v>0.49</v>
      </c>
      <c r="I156">
        <f t="shared" si="28"/>
        <v>0.49</v>
      </c>
      <c r="J156">
        <f t="shared" si="30"/>
        <v>79.559999999999931</v>
      </c>
      <c r="K156">
        <f t="shared" si="31"/>
        <v>0</v>
      </c>
    </row>
    <row r="157" spans="1:11" x14ac:dyDescent="0.25">
      <c r="A157" s="1">
        <v>47759</v>
      </c>
      <c r="B157">
        <f t="shared" si="26"/>
        <v>3</v>
      </c>
      <c r="C157">
        <f t="shared" si="23"/>
        <v>10</v>
      </c>
      <c r="D157">
        <f t="shared" si="24"/>
        <v>2030</v>
      </c>
      <c r="E157">
        <f t="shared" si="25"/>
        <v>4</v>
      </c>
      <c r="F157">
        <f t="shared" si="29"/>
        <v>0</v>
      </c>
      <c r="G157">
        <f t="shared" si="32"/>
        <v>0.49</v>
      </c>
      <c r="H157">
        <f t="shared" si="27"/>
        <v>0.49</v>
      </c>
      <c r="I157">
        <f t="shared" si="28"/>
        <v>0.49</v>
      </c>
      <c r="J157">
        <f t="shared" si="30"/>
        <v>80.049999999999926</v>
      </c>
      <c r="K157">
        <f t="shared" si="31"/>
        <v>0</v>
      </c>
    </row>
    <row r="158" spans="1:11" x14ac:dyDescent="0.25">
      <c r="A158" s="1">
        <v>47760</v>
      </c>
      <c r="B158">
        <f t="shared" si="26"/>
        <v>4</v>
      </c>
      <c r="C158">
        <f t="shared" si="23"/>
        <v>10</v>
      </c>
      <c r="D158">
        <f t="shared" si="24"/>
        <v>2030</v>
      </c>
      <c r="E158">
        <f t="shared" si="25"/>
        <v>5</v>
      </c>
      <c r="F158">
        <f t="shared" si="29"/>
        <v>0</v>
      </c>
      <c r="G158">
        <f t="shared" si="32"/>
        <v>0.49</v>
      </c>
      <c r="H158">
        <f t="shared" si="27"/>
        <v>0.49</v>
      </c>
      <c r="I158">
        <f t="shared" si="28"/>
        <v>0.49</v>
      </c>
      <c r="J158">
        <f t="shared" si="30"/>
        <v>80.539999999999921</v>
      </c>
      <c r="K158">
        <f t="shared" si="31"/>
        <v>0</v>
      </c>
    </row>
    <row r="159" spans="1:11" x14ac:dyDescent="0.25">
      <c r="A159" s="1">
        <v>47761</v>
      </c>
      <c r="B159">
        <f t="shared" si="26"/>
        <v>5</v>
      </c>
      <c r="C159">
        <f t="shared" si="23"/>
        <v>10</v>
      </c>
      <c r="D159">
        <f t="shared" si="24"/>
        <v>2030</v>
      </c>
      <c r="E159">
        <f t="shared" si="25"/>
        <v>6</v>
      </c>
      <c r="F159">
        <f t="shared" si="29"/>
        <v>0</v>
      </c>
      <c r="G159">
        <f t="shared" si="32"/>
        <v>0.49</v>
      </c>
      <c r="H159">
        <f t="shared" si="27"/>
        <v>0.49</v>
      </c>
      <c r="I159">
        <f t="shared" si="28"/>
        <v>0.49</v>
      </c>
      <c r="J159">
        <f t="shared" si="30"/>
        <v>81.029999999999916</v>
      </c>
      <c r="K159">
        <f t="shared" si="31"/>
        <v>0</v>
      </c>
    </row>
    <row r="160" spans="1:11" x14ac:dyDescent="0.25">
      <c r="A160" s="1">
        <v>47762</v>
      </c>
      <c r="B160">
        <f t="shared" si="26"/>
        <v>6</v>
      </c>
      <c r="C160">
        <f t="shared" si="23"/>
        <v>10</v>
      </c>
      <c r="D160">
        <f t="shared" si="24"/>
        <v>2030</v>
      </c>
      <c r="E160">
        <f t="shared" si="25"/>
        <v>7</v>
      </c>
      <c r="F160">
        <f t="shared" si="29"/>
        <v>0</v>
      </c>
      <c r="G160">
        <f t="shared" si="32"/>
        <v>0.49</v>
      </c>
      <c r="H160">
        <f t="shared" si="27"/>
        <v>0.49</v>
      </c>
      <c r="I160">
        <f t="shared" si="28"/>
        <v>0</v>
      </c>
      <c r="J160">
        <f t="shared" si="30"/>
        <v>81.029999999999916</v>
      </c>
      <c r="K160">
        <f t="shared" si="31"/>
        <v>0</v>
      </c>
    </row>
    <row r="161" spans="1:11" x14ac:dyDescent="0.25">
      <c r="A161" s="1">
        <v>47763</v>
      </c>
      <c r="B161">
        <f t="shared" si="26"/>
        <v>7</v>
      </c>
      <c r="C161">
        <f t="shared" si="23"/>
        <v>10</v>
      </c>
      <c r="D161">
        <f t="shared" si="24"/>
        <v>2030</v>
      </c>
      <c r="E161">
        <f t="shared" si="25"/>
        <v>1</v>
      </c>
      <c r="F161">
        <f t="shared" si="29"/>
        <v>0</v>
      </c>
      <c r="G161">
        <f t="shared" si="32"/>
        <v>0.49</v>
      </c>
      <c r="H161">
        <f t="shared" si="27"/>
        <v>0.49</v>
      </c>
      <c r="I161">
        <f t="shared" si="28"/>
        <v>0.49</v>
      </c>
      <c r="J161">
        <f t="shared" si="30"/>
        <v>81.519999999999911</v>
      </c>
      <c r="K161">
        <f t="shared" si="31"/>
        <v>0</v>
      </c>
    </row>
    <row r="162" spans="1:11" x14ac:dyDescent="0.25">
      <c r="A162" s="1">
        <v>47764</v>
      </c>
      <c r="B162">
        <f t="shared" si="26"/>
        <v>8</v>
      </c>
      <c r="C162">
        <f t="shared" si="23"/>
        <v>10</v>
      </c>
      <c r="D162">
        <f t="shared" si="24"/>
        <v>2030</v>
      </c>
      <c r="E162">
        <f t="shared" si="25"/>
        <v>2</v>
      </c>
      <c r="F162">
        <f t="shared" si="29"/>
        <v>0</v>
      </c>
      <c r="G162">
        <f t="shared" si="32"/>
        <v>0.49</v>
      </c>
      <c r="H162">
        <f t="shared" si="27"/>
        <v>0.49</v>
      </c>
      <c r="I162">
        <f t="shared" si="28"/>
        <v>0.49</v>
      </c>
      <c r="J162">
        <f t="shared" si="30"/>
        <v>82.009999999999906</v>
      </c>
      <c r="K162">
        <f t="shared" si="31"/>
        <v>0</v>
      </c>
    </row>
    <row r="163" spans="1:11" x14ac:dyDescent="0.25">
      <c r="A163" s="1">
        <v>47765</v>
      </c>
      <c r="B163">
        <f t="shared" si="26"/>
        <v>9</v>
      </c>
      <c r="C163">
        <f t="shared" si="23"/>
        <v>10</v>
      </c>
      <c r="D163">
        <f t="shared" si="24"/>
        <v>2030</v>
      </c>
      <c r="E163">
        <f t="shared" si="25"/>
        <v>3</v>
      </c>
      <c r="F163">
        <f t="shared" si="29"/>
        <v>0</v>
      </c>
      <c r="G163">
        <f t="shared" si="32"/>
        <v>0.49</v>
      </c>
      <c r="H163">
        <f t="shared" si="27"/>
        <v>0.49</v>
      </c>
      <c r="I163">
        <f t="shared" si="28"/>
        <v>0.49</v>
      </c>
      <c r="J163">
        <f t="shared" si="30"/>
        <v>82.499999999999901</v>
      </c>
      <c r="K163">
        <f t="shared" si="31"/>
        <v>0</v>
      </c>
    </row>
    <row r="164" spans="1:11" x14ac:dyDescent="0.25">
      <c r="A164" s="1">
        <v>47766</v>
      </c>
      <c r="B164">
        <f t="shared" si="26"/>
        <v>10</v>
      </c>
      <c r="C164">
        <f t="shared" si="23"/>
        <v>10</v>
      </c>
      <c r="D164">
        <f t="shared" si="24"/>
        <v>2030</v>
      </c>
      <c r="E164">
        <f t="shared" si="25"/>
        <v>4</v>
      </c>
      <c r="F164">
        <f t="shared" si="29"/>
        <v>0</v>
      </c>
      <c r="G164">
        <f t="shared" si="32"/>
        <v>0.49</v>
      </c>
      <c r="H164">
        <f t="shared" si="27"/>
        <v>0.49</v>
      </c>
      <c r="I164">
        <f t="shared" si="28"/>
        <v>0.49</v>
      </c>
      <c r="J164">
        <f t="shared" si="30"/>
        <v>82.989999999999895</v>
      </c>
      <c r="K164">
        <f t="shared" si="31"/>
        <v>0</v>
      </c>
    </row>
    <row r="165" spans="1:11" x14ac:dyDescent="0.25">
      <c r="A165" s="1">
        <v>47767</v>
      </c>
      <c r="B165">
        <f t="shared" si="26"/>
        <v>11</v>
      </c>
      <c r="C165">
        <f t="shared" si="23"/>
        <v>10</v>
      </c>
      <c r="D165">
        <f t="shared" si="24"/>
        <v>2030</v>
      </c>
      <c r="E165">
        <f t="shared" si="25"/>
        <v>5</v>
      </c>
      <c r="F165">
        <f t="shared" si="29"/>
        <v>0</v>
      </c>
      <c r="G165">
        <f t="shared" si="32"/>
        <v>0.49</v>
      </c>
      <c r="H165">
        <f t="shared" si="27"/>
        <v>0.49</v>
      </c>
      <c r="I165">
        <f t="shared" si="28"/>
        <v>0.49</v>
      </c>
      <c r="J165">
        <f t="shared" si="30"/>
        <v>83.47999999999989</v>
      </c>
      <c r="K165">
        <f t="shared" si="31"/>
        <v>0</v>
      </c>
    </row>
    <row r="166" spans="1:11" x14ac:dyDescent="0.25">
      <c r="A166" s="1">
        <v>47768</v>
      </c>
      <c r="B166">
        <f t="shared" si="26"/>
        <v>12</v>
      </c>
      <c r="C166">
        <f t="shared" si="23"/>
        <v>10</v>
      </c>
      <c r="D166">
        <f t="shared" si="24"/>
        <v>2030</v>
      </c>
      <c r="E166">
        <f t="shared" si="25"/>
        <v>6</v>
      </c>
      <c r="F166">
        <f t="shared" si="29"/>
        <v>0</v>
      </c>
      <c r="G166">
        <f t="shared" si="32"/>
        <v>0.49</v>
      </c>
      <c r="H166">
        <f t="shared" si="27"/>
        <v>0.49</v>
      </c>
      <c r="I166">
        <f t="shared" si="28"/>
        <v>0.49</v>
      </c>
      <c r="J166">
        <f t="shared" si="30"/>
        <v>83.969999999999885</v>
      </c>
      <c r="K166">
        <f t="shared" si="31"/>
        <v>0</v>
      </c>
    </row>
    <row r="167" spans="1:11" x14ac:dyDescent="0.25">
      <c r="A167" s="1">
        <v>47769</v>
      </c>
      <c r="B167">
        <f t="shared" si="26"/>
        <v>13</v>
      </c>
      <c r="C167">
        <f t="shared" si="23"/>
        <v>10</v>
      </c>
      <c r="D167">
        <f t="shared" si="24"/>
        <v>2030</v>
      </c>
      <c r="E167">
        <f t="shared" si="25"/>
        <v>7</v>
      </c>
      <c r="F167">
        <f t="shared" si="29"/>
        <v>0</v>
      </c>
      <c r="G167">
        <f t="shared" si="32"/>
        <v>0.49</v>
      </c>
      <c r="H167">
        <f t="shared" si="27"/>
        <v>0.49</v>
      </c>
      <c r="I167">
        <f t="shared" si="28"/>
        <v>0</v>
      </c>
      <c r="J167">
        <f t="shared" si="30"/>
        <v>83.969999999999885</v>
      </c>
      <c r="K167">
        <f t="shared" si="31"/>
        <v>0</v>
      </c>
    </row>
    <row r="168" spans="1:11" x14ac:dyDescent="0.25">
      <c r="A168" s="1">
        <v>47770</v>
      </c>
      <c r="B168">
        <f t="shared" si="26"/>
        <v>14</v>
      </c>
      <c r="C168">
        <f t="shared" si="23"/>
        <v>10</v>
      </c>
      <c r="D168">
        <f t="shared" si="24"/>
        <v>2030</v>
      </c>
      <c r="E168">
        <f t="shared" si="25"/>
        <v>1</v>
      </c>
      <c r="F168">
        <f t="shared" si="29"/>
        <v>0</v>
      </c>
      <c r="G168">
        <f t="shared" si="32"/>
        <v>0.49</v>
      </c>
      <c r="H168">
        <f t="shared" si="27"/>
        <v>0.49</v>
      </c>
      <c r="I168">
        <f t="shared" si="28"/>
        <v>0.49</v>
      </c>
      <c r="J168">
        <f t="shared" si="30"/>
        <v>84.45999999999988</v>
      </c>
      <c r="K168">
        <f t="shared" si="31"/>
        <v>0</v>
      </c>
    </row>
    <row r="169" spans="1:11" x14ac:dyDescent="0.25">
      <c r="A169" s="1">
        <v>47771</v>
      </c>
      <c r="B169">
        <f t="shared" si="26"/>
        <v>15</v>
      </c>
      <c r="C169">
        <f t="shared" si="23"/>
        <v>10</v>
      </c>
      <c r="D169">
        <f t="shared" si="24"/>
        <v>2030</v>
      </c>
      <c r="E169">
        <f t="shared" si="25"/>
        <v>2</v>
      </c>
      <c r="F169">
        <f t="shared" si="29"/>
        <v>0</v>
      </c>
      <c r="G169">
        <f t="shared" si="32"/>
        <v>0.49</v>
      </c>
      <c r="H169">
        <f t="shared" si="27"/>
        <v>0.49</v>
      </c>
      <c r="I169">
        <f t="shared" si="28"/>
        <v>0.49</v>
      </c>
      <c r="J169">
        <f t="shared" si="30"/>
        <v>84.949999999999875</v>
      </c>
      <c r="K169">
        <f t="shared" si="31"/>
        <v>0</v>
      </c>
    </row>
    <row r="170" spans="1:11" x14ac:dyDescent="0.25">
      <c r="A170" s="1">
        <v>47772</v>
      </c>
      <c r="B170">
        <f t="shared" si="26"/>
        <v>16</v>
      </c>
      <c r="C170">
        <f t="shared" si="23"/>
        <v>10</v>
      </c>
      <c r="D170">
        <f t="shared" si="24"/>
        <v>2030</v>
      </c>
      <c r="E170">
        <f t="shared" si="25"/>
        <v>3</v>
      </c>
      <c r="F170">
        <f t="shared" si="29"/>
        <v>0</v>
      </c>
      <c r="G170">
        <f t="shared" si="32"/>
        <v>0.49</v>
      </c>
      <c r="H170">
        <f t="shared" si="27"/>
        <v>0.49</v>
      </c>
      <c r="I170">
        <f t="shared" si="28"/>
        <v>0.49</v>
      </c>
      <c r="J170">
        <f t="shared" si="30"/>
        <v>85.43999999999987</v>
      </c>
      <c r="K170">
        <f t="shared" si="31"/>
        <v>0</v>
      </c>
    </row>
    <row r="171" spans="1:11" x14ac:dyDescent="0.25">
      <c r="A171" s="1">
        <v>47773</v>
      </c>
      <c r="B171">
        <f t="shared" si="26"/>
        <v>17</v>
      </c>
      <c r="C171">
        <f t="shared" si="23"/>
        <v>10</v>
      </c>
      <c r="D171">
        <f t="shared" si="24"/>
        <v>2030</v>
      </c>
      <c r="E171">
        <f t="shared" si="25"/>
        <v>4</v>
      </c>
      <c r="F171">
        <f t="shared" si="29"/>
        <v>0</v>
      </c>
      <c r="G171">
        <f t="shared" si="32"/>
        <v>0.49</v>
      </c>
      <c r="H171">
        <f t="shared" si="27"/>
        <v>0.49</v>
      </c>
      <c r="I171">
        <f t="shared" si="28"/>
        <v>0.49</v>
      </c>
      <c r="J171">
        <f t="shared" si="30"/>
        <v>85.929999999999865</v>
      </c>
      <c r="K171">
        <f t="shared" si="31"/>
        <v>0</v>
      </c>
    </row>
    <row r="172" spans="1:11" x14ac:dyDescent="0.25">
      <c r="A172" s="1">
        <v>47774</v>
      </c>
      <c r="B172">
        <f t="shared" si="26"/>
        <v>18</v>
      </c>
      <c r="C172">
        <f t="shared" si="23"/>
        <v>10</v>
      </c>
      <c r="D172">
        <f t="shared" si="24"/>
        <v>2030</v>
      </c>
      <c r="E172">
        <f t="shared" si="25"/>
        <v>5</v>
      </c>
      <c r="F172">
        <f t="shared" si="29"/>
        <v>0</v>
      </c>
      <c r="G172">
        <f t="shared" si="32"/>
        <v>0.49</v>
      </c>
      <c r="H172">
        <f t="shared" si="27"/>
        <v>0.49</v>
      </c>
      <c r="I172">
        <f t="shared" si="28"/>
        <v>0.49</v>
      </c>
      <c r="J172">
        <f t="shared" si="30"/>
        <v>86.41999999999986</v>
      </c>
      <c r="K172">
        <f t="shared" si="31"/>
        <v>0</v>
      </c>
    </row>
    <row r="173" spans="1:11" x14ac:dyDescent="0.25">
      <c r="A173" s="1">
        <v>47775</v>
      </c>
      <c r="B173">
        <f t="shared" si="26"/>
        <v>19</v>
      </c>
      <c r="C173">
        <f t="shared" si="23"/>
        <v>10</v>
      </c>
      <c r="D173">
        <f t="shared" si="24"/>
        <v>2030</v>
      </c>
      <c r="E173">
        <f t="shared" si="25"/>
        <v>6</v>
      </c>
      <c r="F173">
        <f t="shared" si="29"/>
        <v>0</v>
      </c>
      <c r="G173">
        <f t="shared" si="32"/>
        <v>0.49</v>
      </c>
      <c r="H173">
        <f t="shared" si="27"/>
        <v>0.49</v>
      </c>
      <c r="I173">
        <f t="shared" si="28"/>
        <v>0.49</v>
      </c>
      <c r="J173">
        <f t="shared" si="30"/>
        <v>86.909999999999854</v>
      </c>
      <c r="K173">
        <f t="shared" si="31"/>
        <v>0</v>
      </c>
    </row>
    <row r="174" spans="1:11" x14ac:dyDescent="0.25">
      <c r="A174" s="1">
        <v>47776</v>
      </c>
      <c r="B174">
        <f t="shared" si="26"/>
        <v>20</v>
      </c>
      <c r="C174">
        <f t="shared" ref="C174:C237" si="33">MONTH(A174)</f>
        <v>10</v>
      </c>
      <c r="D174">
        <f t="shared" ref="D174:D237" si="34">YEAR(A174)</f>
        <v>2030</v>
      </c>
      <c r="E174">
        <f t="shared" ref="E174:E237" si="35">WEEKDAY(A174,2)</f>
        <v>7</v>
      </c>
      <c r="F174">
        <f t="shared" si="29"/>
        <v>0</v>
      </c>
      <c r="G174">
        <f t="shared" si="32"/>
        <v>0.49</v>
      </c>
      <c r="H174">
        <f t="shared" si="27"/>
        <v>0.49</v>
      </c>
      <c r="I174">
        <f t="shared" si="28"/>
        <v>0</v>
      </c>
      <c r="J174">
        <f t="shared" si="30"/>
        <v>86.909999999999854</v>
      </c>
      <c r="K174">
        <f t="shared" si="31"/>
        <v>0</v>
      </c>
    </row>
    <row r="175" spans="1:11" x14ac:dyDescent="0.25">
      <c r="A175" s="1">
        <v>47777</v>
      </c>
      <c r="B175">
        <f t="shared" si="26"/>
        <v>21</v>
      </c>
      <c r="C175">
        <f t="shared" si="33"/>
        <v>10</v>
      </c>
      <c r="D175">
        <f t="shared" si="34"/>
        <v>2030</v>
      </c>
      <c r="E175">
        <f t="shared" si="35"/>
        <v>1</v>
      </c>
      <c r="F175">
        <f t="shared" si="29"/>
        <v>0</v>
      </c>
      <c r="G175">
        <f t="shared" si="32"/>
        <v>0.49</v>
      </c>
      <c r="H175">
        <f t="shared" si="27"/>
        <v>0.49</v>
      </c>
      <c r="I175">
        <f t="shared" si="28"/>
        <v>0.49</v>
      </c>
      <c r="J175">
        <f t="shared" si="30"/>
        <v>87.399999999999849</v>
      </c>
      <c r="K175">
        <f t="shared" si="31"/>
        <v>0</v>
      </c>
    </row>
    <row r="176" spans="1:11" x14ac:dyDescent="0.25">
      <c r="A176" s="1">
        <v>47778</v>
      </c>
      <c r="B176">
        <f t="shared" si="26"/>
        <v>22</v>
      </c>
      <c r="C176">
        <f t="shared" si="33"/>
        <v>10</v>
      </c>
      <c r="D176">
        <f t="shared" si="34"/>
        <v>2030</v>
      </c>
      <c r="E176">
        <f t="shared" si="35"/>
        <v>2</v>
      </c>
      <c r="F176">
        <f t="shared" si="29"/>
        <v>0</v>
      </c>
      <c r="G176">
        <f t="shared" si="32"/>
        <v>0.49</v>
      </c>
      <c r="H176">
        <f t="shared" si="27"/>
        <v>0.49</v>
      </c>
      <c r="I176">
        <f t="shared" si="28"/>
        <v>0.49</v>
      </c>
      <c r="J176">
        <f t="shared" si="30"/>
        <v>87.889999999999844</v>
      </c>
      <c r="K176">
        <f t="shared" si="31"/>
        <v>0</v>
      </c>
    </row>
    <row r="177" spans="1:11" x14ac:dyDescent="0.25">
      <c r="A177" s="1">
        <v>47779</v>
      </c>
      <c r="B177">
        <f t="shared" si="26"/>
        <v>23</v>
      </c>
      <c r="C177">
        <f t="shared" si="33"/>
        <v>10</v>
      </c>
      <c r="D177">
        <f t="shared" si="34"/>
        <v>2030</v>
      </c>
      <c r="E177">
        <f t="shared" si="35"/>
        <v>3</v>
      </c>
      <c r="F177">
        <f t="shared" si="29"/>
        <v>0</v>
      </c>
      <c r="G177">
        <f t="shared" si="32"/>
        <v>0.49</v>
      </c>
      <c r="H177">
        <f t="shared" si="27"/>
        <v>0.49</v>
      </c>
      <c r="I177">
        <f t="shared" si="28"/>
        <v>0.49</v>
      </c>
      <c r="J177">
        <f t="shared" si="30"/>
        <v>88.379999999999839</v>
      </c>
      <c r="K177">
        <f t="shared" si="31"/>
        <v>0</v>
      </c>
    </row>
    <row r="178" spans="1:11" x14ac:dyDescent="0.25">
      <c r="A178" s="1">
        <v>47780</v>
      </c>
      <c r="B178">
        <f t="shared" si="26"/>
        <v>24</v>
      </c>
      <c r="C178">
        <f t="shared" si="33"/>
        <v>10</v>
      </c>
      <c r="D178">
        <f t="shared" si="34"/>
        <v>2030</v>
      </c>
      <c r="E178">
        <f t="shared" si="35"/>
        <v>4</v>
      </c>
      <c r="F178">
        <f t="shared" si="29"/>
        <v>0</v>
      </c>
      <c r="G178">
        <f t="shared" si="32"/>
        <v>0.49</v>
      </c>
      <c r="H178">
        <f t="shared" si="27"/>
        <v>0.49</v>
      </c>
      <c r="I178">
        <f t="shared" si="28"/>
        <v>0.49</v>
      </c>
      <c r="J178">
        <f t="shared" si="30"/>
        <v>88.869999999999834</v>
      </c>
      <c r="K178">
        <f t="shared" si="31"/>
        <v>0</v>
      </c>
    </row>
    <row r="179" spans="1:11" x14ac:dyDescent="0.25">
      <c r="A179" s="1">
        <v>47781</v>
      </c>
      <c r="B179">
        <f t="shared" si="26"/>
        <v>25</v>
      </c>
      <c r="C179">
        <f t="shared" si="33"/>
        <v>10</v>
      </c>
      <c r="D179">
        <f t="shared" si="34"/>
        <v>2030</v>
      </c>
      <c r="E179">
        <f t="shared" si="35"/>
        <v>5</v>
      </c>
      <c r="F179">
        <f t="shared" si="29"/>
        <v>0</v>
      </c>
      <c r="G179">
        <f t="shared" si="32"/>
        <v>0.49</v>
      </c>
      <c r="H179">
        <f t="shared" si="27"/>
        <v>0.49</v>
      </c>
      <c r="I179">
        <f t="shared" si="28"/>
        <v>0.49</v>
      </c>
      <c r="J179">
        <f t="shared" si="30"/>
        <v>89.359999999999829</v>
      </c>
      <c r="K179">
        <f t="shared" si="31"/>
        <v>0</v>
      </c>
    </row>
    <row r="180" spans="1:11" x14ac:dyDescent="0.25">
      <c r="A180" s="1">
        <v>47782</v>
      </c>
      <c r="B180">
        <f t="shared" si="26"/>
        <v>26</v>
      </c>
      <c r="C180">
        <f t="shared" si="33"/>
        <v>10</v>
      </c>
      <c r="D180">
        <f t="shared" si="34"/>
        <v>2030</v>
      </c>
      <c r="E180">
        <f t="shared" si="35"/>
        <v>6</v>
      </c>
      <c r="F180">
        <f t="shared" si="29"/>
        <v>0</v>
      </c>
      <c r="G180">
        <f t="shared" si="32"/>
        <v>0.49</v>
      </c>
      <c r="H180">
        <f t="shared" si="27"/>
        <v>0.49</v>
      </c>
      <c r="I180">
        <f t="shared" si="28"/>
        <v>0.49</v>
      </c>
      <c r="J180">
        <f t="shared" si="30"/>
        <v>89.849999999999824</v>
      </c>
      <c r="K180">
        <f t="shared" si="31"/>
        <v>0</v>
      </c>
    </row>
    <row r="181" spans="1:11" x14ac:dyDescent="0.25">
      <c r="A181" s="1">
        <v>47783</v>
      </c>
      <c r="B181">
        <f t="shared" si="26"/>
        <v>27</v>
      </c>
      <c r="C181">
        <f t="shared" si="33"/>
        <v>10</v>
      </c>
      <c r="D181">
        <f t="shared" si="34"/>
        <v>2030</v>
      </c>
      <c r="E181">
        <f t="shared" si="35"/>
        <v>7</v>
      </c>
      <c r="F181">
        <f t="shared" si="29"/>
        <v>0</v>
      </c>
      <c r="G181">
        <f t="shared" si="32"/>
        <v>0.49</v>
      </c>
      <c r="H181">
        <f t="shared" si="27"/>
        <v>0.49</v>
      </c>
      <c r="I181">
        <f t="shared" si="28"/>
        <v>0</v>
      </c>
      <c r="J181">
        <f t="shared" si="30"/>
        <v>89.849999999999824</v>
      </c>
      <c r="K181">
        <f t="shared" si="31"/>
        <v>0</v>
      </c>
    </row>
    <row r="182" spans="1:11" x14ac:dyDescent="0.25">
      <c r="A182" s="1">
        <v>47784</v>
      </c>
      <c r="B182">
        <f t="shared" si="26"/>
        <v>28</v>
      </c>
      <c r="C182">
        <f t="shared" si="33"/>
        <v>10</v>
      </c>
      <c r="D182">
        <f t="shared" si="34"/>
        <v>2030</v>
      </c>
      <c r="E182">
        <f t="shared" si="35"/>
        <v>1</v>
      </c>
      <c r="F182">
        <f t="shared" si="29"/>
        <v>0</v>
      </c>
      <c r="G182">
        <f t="shared" si="32"/>
        <v>0.49</v>
      </c>
      <c r="H182">
        <f t="shared" si="27"/>
        <v>0.49</v>
      </c>
      <c r="I182">
        <f t="shared" si="28"/>
        <v>0.49</v>
      </c>
      <c r="J182">
        <f t="shared" si="30"/>
        <v>90.339999999999819</v>
      </c>
      <c r="K182">
        <f t="shared" si="31"/>
        <v>0</v>
      </c>
    </row>
    <row r="183" spans="1:11" x14ac:dyDescent="0.25">
      <c r="A183" s="1">
        <v>47785</v>
      </c>
      <c r="B183">
        <f t="shared" si="26"/>
        <v>29</v>
      </c>
      <c r="C183">
        <f t="shared" si="33"/>
        <v>10</v>
      </c>
      <c r="D183">
        <f t="shared" si="34"/>
        <v>2030</v>
      </c>
      <c r="E183">
        <f t="shared" si="35"/>
        <v>2</v>
      </c>
      <c r="F183">
        <f t="shared" si="29"/>
        <v>0</v>
      </c>
      <c r="G183">
        <f t="shared" si="32"/>
        <v>0.49</v>
      </c>
      <c r="H183">
        <f t="shared" si="27"/>
        <v>0.49</v>
      </c>
      <c r="I183">
        <f t="shared" si="28"/>
        <v>0.49</v>
      </c>
      <c r="J183">
        <f t="shared" si="30"/>
        <v>90.829999999999814</v>
      </c>
      <c r="K183">
        <f t="shared" si="31"/>
        <v>0</v>
      </c>
    </row>
    <row r="184" spans="1:11" x14ac:dyDescent="0.25">
      <c r="A184" s="1">
        <v>47786</v>
      </c>
      <c r="B184">
        <f t="shared" si="26"/>
        <v>30</v>
      </c>
      <c r="C184">
        <f t="shared" si="33"/>
        <v>10</v>
      </c>
      <c r="D184">
        <f t="shared" si="34"/>
        <v>2030</v>
      </c>
      <c r="E184">
        <f t="shared" si="35"/>
        <v>3</v>
      </c>
      <c r="F184">
        <f t="shared" si="29"/>
        <v>0</v>
      </c>
      <c r="G184">
        <f t="shared" si="32"/>
        <v>0.49</v>
      </c>
      <c r="H184">
        <f t="shared" si="27"/>
        <v>0.49</v>
      </c>
      <c r="I184">
        <f t="shared" si="28"/>
        <v>0.49</v>
      </c>
      <c r="J184">
        <f t="shared" si="30"/>
        <v>91.319999999999808</v>
      </c>
      <c r="K184">
        <f t="shared" si="31"/>
        <v>0</v>
      </c>
    </row>
    <row r="185" spans="1:11" x14ac:dyDescent="0.25">
      <c r="A185" s="1">
        <v>47787</v>
      </c>
      <c r="B185">
        <f t="shared" si="26"/>
        <v>31</v>
      </c>
      <c r="C185">
        <f t="shared" si="33"/>
        <v>10</v>
      </c>
      <c r="D185">
        <f t="shared" si="34"/>
        <v>2030</v>
      </c>
      <c r="E185">
        <f t="shared" si="35"/>
        <v>4</v>
      </c>
      <c r="F185">
        <f t="shared" si="29"/>
        <v>0</v>
      </c>
      <c r="G185">
        <f t="shared" si="32"/>
        <v>0.49</v>
      </c>
      <c r="H185">
        <f t="shared" si="27"/>
        <v>0.49</v>
      </c>
      <c r="I185">
        <f t="shared" si="28"/>
        <v>0.49</v>
      </c>
      <c r="J185">
        <f t="shared" si="30"/>
        <v>91.809999999999803</v>
      </c>
      <c r="K185">
        <f t="shared" si="31"/>
        <v>0</v>
      </c>
    </row>
    <row r="186" spans="1:11" x14ac:dyDescent="0.25">
      <c r="A186" s="1">
        <v>47788</v>
      </c>
      <c r="B186">
        <f t="shared" si="26"/>
        <v>1</v>
      </c>
      <c r="C186">
        <f t="shared" si="33"/>
        <v>11</v>
      </c>
      <c r="D186">
        <f t="shared" si="34"/>
        <v>2030</v>
      </c>
      <c r="E186">
        <f t="shared" si="35"/>
        <v>5</v>
      </c>
      <c r="F186">
        <f t="shared" si="29"/>
        <v>1</v>
      </c>
      <c r="G186">
        <f t="shared" si="32"/>
        <v>0.49</v>
      </c>
      <c r="H186">
        <f t="shared" si="27"/>
        <v>0.5635</v>
      </c>
      <c r="I186">
        <f t="shared" si="28"/>
        <v>0</v>
      </c>
      <c r="J186">
        <f t="shared" si="30"/>
        <v>91.809999999999803</v>
      </c>
      <c r="K186">
        <f t="shared" si="31"/>
        <v>0</v>
      </c>
    </row>
    <row r="187" spans="1:11" x14ac:dyDescent="0.25">
      <c r="A187" s="1">
        <v>47789</v>
      </c>
      <c r="B187">
        <f t="shared" si="26"/>
        <v>2</v>
      </c>
      <c r="C187">
        <f t="shared" si="33"/>
        <v>11</v>
      </c>
      <c r="D187">
        <f t="shared" si="34"/>
        <v>2030</v>
      </c>
      <c r="E187">
        <f t="shared" si="35"/>
        <v>6</v>
      </c>
      <c r="F187">
        <f t="shared" si="29"/>
        <v>0</v>
      </c>
      <c r="G187">
        <f t="shared" si="32"/>
        <v>0.49</v>
      </c>
      <c r="H187">
        <f t="shared" si="27"/>
        <v>0.49</v>
      </c>
      <c r="I187">
        <f t="shared" si="28"/>
        <v>0.49</v>
      </c>
      <c r="J187">
        <f t="shared" si="30"/>
        <v>92.299999999999798</v>
      </c>
      <c r="K187">
        <f t="shared" si="31"/>
        <v>0</v>
      </c>
    </row>
    <row r="188" spans="1:11" x14ac:dyDescent="0.25">
      <c r="A188" s="1">
        <v>47790</v>
      </c>
      <c r="B188">
        <f t="shared" si="26"/>
        <v>3</v>
      </c>
      <c r="C188">
        <f t="shared" si="33"/>
        <v>11</v>
      </c>
      <c r="D188">
        <f t="shared" si="34"/>
        <v>2030</v>
      </c>
      <c r="E188">
        <f t="shared" si="35"/>
        <v>7</v>
      </c>
      <c r="F188">
        <f t="shared" si="29"/>
        <v>0</v>
      </c>
      <c r="G188">
        <f t="shared" si="32"/>
        <v>0.49</v>
      </c>
      <c r="H188">
        <f t="shared" si="27"/>
        <v>0.49</v>
      </c>
      <c r="I188">
        <f t="shared" si="28"/>
        <v>0</v>
      </c>
      <c r="J188">
        <f t="shared" si="30"/>
        <v>92.299999999999798</v>
      </c>
      <c r="K188">
        <f t="shared" si="31"/>
        <v>0</v>
      </c>
    </row>
    <row r="189" spans="1:11" x14ac:dyDescent="0.25">
      <c r="A189" s="1">
        <v>47791</v>
      </c>
      <c r="B189">
        <f t="shared" si="26"/>
        <v>4</v>
      </c>
      <c r="C189">
        <f t="shared" si="33"/>
        <v>11</v>
      </c>
      <c r="D189">
        <f t="shared" si="34"/>
        <v>2030</v>
      </c>
      <c r="E189">
        <f t="shared" si="35"/>
        <v>1</v>
      </c>
      <c r="F189">
        <f t="shared" si="29"/>
        <v>0</v>
      </c>
      <c r="G189">
        <f t="shared" si="32"/>
        <v>0.49</v>
      </c>
      <c r="H189">
        <f t="shared" si="27"/>
        <v>0.49</v>
      </c>
      <c r="I189">
        <f t="shared" si="28"/>
        <v>0.49</v>
      </c>
      <c r="J189">
        <f t="shared" si="30"/>
        <v>92.789999999999793</v>
      </c>
      <c r="K189">
        <f t="shared" si="31"/>
        <v>0</v>
      </c>
    </row>
    <row r="190" spans="1:11" x14ac:dyDescent="0.25">
      <c r="A190" s="1">
        <v>47792</v>
      </c>
      <c r="B190">
        <f t="shared" si="26"/>
        <v>5</v>
      </c>
      <c r="C190">
        <f t="shared" si="33"/>
        <v>11</v>
      </c>
      <c r="D190">
        <f t="shared" si="34"/>
        <v>2030</v>
      </c>
      <c r="E190">
        <f t="shared" si="35"/>
        <v>2</v>
      </c>
      <c r="F190">
        <f t="shared" si="29"/>
        <v>0</v>
      </c>
      <c r="G190">
        <f t="shared" si="32"/>
        <v>0.49</v>
      </c>
      <c r="H190">
        <f t="shared" si="27"/>
        <v>0.49</v>
      </c>
      <c r="I190">
        <f t="shared" si="28"/>
        <v>0.49</v>
      </c>
      <c r="J190">
        <f t="shared" si="30"/>
        <v>93.279999999999788</v>
      </c>
      <c r="K190">
        <f t="shared" si="31"/>
        <v>0</v>
      </c>
    </row>
    <row r="191" spans="1:11" x14ac:dyDescent="0.25">
      <c r="A191" s="1">
        <v>47793</v>
      </c>
      <c r="B191">
        <f t="shared" si="26"/>
        <v>6</v>
      </c>
      <c r="C191">
        <f t="shared" si="33"/>
        <v>11</v>
      </c>
      <c r="D191">
        <f t="shared" si="34"/>
        <v>2030</v>
      </c>
      <c r="E191">
        <f t="shared" si="35"/>
        <v>3</v>
      </c>
      <c r="F191">
        <f t="shared" si="29"/>
        <v>0</v>
      </c>
      <c r="G191">
        <f t="shared" si="32"/>
        <v>0.49</v>
      </c>
      <c r="H191">
        <f t="shared" si="27"/>
        <v>0.49</v>
      </c>
      <c r="I191">
        <f t="shared" si="28"/>
        <v>0.49</v>
      </c>
      <c r="J191">
        <f t="shared" si="30"/>
        <v>93.769999999999783</v>
      </c>
      <c r="K191">
        <f t="shared" si="31"/>
        <v>0</v>
      </c>
    </row>
    <row r="192" spans="1:11" x14ac:dyDescent="0.25">
      <c r="A192" s="1">
        <v>47794</v>
      </c>
      <c r="B192">
        <f t="shared" si="26"/>
        <v>7</v>
      </c>
      <c r="C192">
        <f t="shared" si="33"/>
        <v>11</v>
      </c>
      <c r="D192">
        <f t="shared" si="34"/>
        <v>2030</v>
      </c>
      <c r="E192">
        <f t="shared" si="35"/>
        <v>4</v>
      </c>
      <c r="F192">
        <f t="shared" si="29"/>
        <v>0</v>
      </c>
      <c r="G192">
        <f t="shared" si="32"/>
        <v>0.49</v>
      </c>
      <c r="H192">
        <f t="shared" si="27"/>
        <v>0.49</v>
      </c>
      <c r="I192">
        <f t="shared" si="28"/>
        <v>0.49</v>
      </c>
      <c r="J192">
        <f t="shared" si="30"/>
        <v>94.259999999999778</v>
      </c>
      <c r="K192">
        <f t="shared" si="31"/>
        <v>0</v>
      </c>
    </row>
    <row r="193" spans="1:11" x14ac:dyDescent="0.25">
      <c r="A193" s="1">
        <v>47795</v>
      </c>
      <c r="B193">
        <f t="shared" si="26"/>
        <v>8</v>
      </c>
      <c r="C193">
        <f t="shared" si="33"/>
        <v>11</v>
      </c>
      <c r="D193">
        <f t="shared" si="34"/>
        <v>2030</v>
      </c>
      <c r="E193">
        <f t="shared" si="35"/>
        <v>5</v>
      </c>
      <c r="F193">
        <f t="shared" si="29"/>
        <v>0</v>
      </c>
      <c r="G193">
        <f t="shared" si="32"/>
        <v>0.49</v>
      </c>
      <c r="H193">
        <f t="shared" si="27"/>
        <v>0.49</v>
      </c>
      <c r="I193">
        <f t="shared" si="28"/>
        <v>0.49</v>
      </c>
      <c r="J193">
        <f t="shared" si="30"/>
        <v>94.749999999999773</v>
      </c>
      <c r="K193">
        <f t="shared" si="31"/>
        <v>0</v>
      </c>
    </row>
    <row r="194" spans="1:11" x14ac:dyDescent="0.25">
      <c r="A194" s="1">
        <v>47796</v>
      </c>
      <c r="B194">
        <f t="shared" si="26"/>
        <v>9</v>
      </c>
      <c r="C194">
        <f t="shared" si="33"/>
        <v>11</v>
      </c>
      <c r="D194">
        <f t="shared" si="34"/>
        <v>2030</v>
      </c>
      <c r="E194">
        <f t="shared" si="35"/>
        <v>6</v>
      </c>
      <c r="F194">
        <f t="shared" si="29"/>
        <v>0</v>
      </c>
      <c r="G194">
        <f t="shared" si="32"/>
        <v>0.49</v>
      </c>
      <c r="H194">
        <f t="shared" si="27"/>
        <v>0.49</v>
      </c>
      <c r="I194">
        <f t="shared" si="28"/>
        <v>0.49</v>
      </c>
      <c r="J194">
        <f t="shared" si="30"/>
        <v>95.239999999999768</v>
      </c>
      <c r="K194">
        <f t="shared" si="31"/>
        <v>0</v>
      </c>
    </row>
    <row r="195" spans="1:11" x14ac:dyDescent="0.25">
      <c r="A195" s="1">
        <v>47797</v>
      </c>
      <c r="B195">
        <f t="shared" ref="B195:B258" si="36">DAY(A195)</f>
        <v>10</v>
      </c>
      <c r="C195">
        <f t="shared" si="33"/>
        <v>11</v>
      </c>
      <c r="D195">
        <f t="shared" si="34"/>
        <v>2030</v>
      </c>
      <c r="E195">
        <f t="shared" si="35"/>
        <v>7</v>
      </c>
      <c r="F195">
        <f t="shared" si="29"/>
        <v>0</v>
      </c>
      <c r="G195">
        <f t="shared" si="32"/>
        <v>0.49</v>
      </c>
      <c r="H195">
        <f t="shared" ref="H195:H258" si="37">IF(F195=1,G195+G195*0.15,G195)</f>
        <v>0.49</v>
      </c>
      <c r="I195">
        <f t="shared" ref="I195:I258" si="38">IF(AND(F195=0,E195&lt;&gt;7),H195,0)</f>
        <v>0</v>
      </c>
      <c r="J195">
        <f t="shared" si="30"/>
        <v>95.239999999999768</v>
      </c>
      <c r="K195">
        <f t="shared" si="31"/>
        <v>0</v>
      </c>
    </row>
    <row r="196" spans="1:11" x14ac:dyDescent="0.25">
      <c r="A196" s="1">
        <v>47798</v>
      </c>
      <c r="B196">
        <f t="shared" si="36"/>
        <v>11</v>
      </c>
      <c r="C196">
        <f t="shared" si="33"/>
        <v>11</v>
      </c>
      <c r="D196">
        <f t="shared" si="34"/>
        <v>2030</v>
      </c>
      <c r="E196">
        <f t="shared" si="35"/>
        <v>1</v>
      </c>
      <c r="F196">
        <f t="shared" ref="F196:F259" si="39">IF(B196=1,1,0)</f>
        <v>0</v>
      </c>
      <c r="G196">
        <f t="shared" si="32"/>
        <v>0.49</v>
      </c>
      <c r="H196">
        <f t="shared" si="37"/>
        <v>0.49</v>
      </c>
      <c r="I196">
        <f t="shared" si="38"/>
        <v>0.49</v>
      </c>
      <c r="J196">
        <f t="shared" ref="J196:J259" si="40">J195+I196</f>
        <v>95.729999999999762</v>
      </c>
      <c r="K196">
        <f t="shared" ref="K196:K259" si="41">IF(AND(I196=0,I195=0),1,0)</f>
        <v>0</v>
      </c>
    </row>
    <row r="197" spans="1:11" x14ac:dyDescent="0.25">
      <c r="A197" s="1">
        <v>47799</v>
      </c>
      <c r="B197">
        <f t="shared" si="36"/>
        <v>12</v>
      </c>
      <c r="C197">
        <f t="shared" si="33"/>
        <v>11</v>
      </c>
      <c r="D197">
        <f t="shared" si="34"/>
        <v>2030</v>
      </c>
      <c r="E197">
        <f t="shared" si="35"/>
        <v>2</v>
      </c>
      <c r="F197">
        <f t="shared" si="39"/>
        <v>0</v>
      </c>
      <c r="G197">
        <f t="shared" si="32"/>
        <v>0.49</v>
      </c>
      <c r="H197">
        <f t="shared" si="37"/>
        <v>0.49</v>
      </c>
      <c r="I197">
        <f t="shared" si="38"/>
        <v>0.49</v>
      </c>
      <c r="J197">
        <f t="shared" si="40"/>
        <v>96.219999999999757</v>
      </c>
      <c r="K197">
        <f t="shared" si="41"/>
        <v>0</v>
      </c>
    </row>
    <row r="198" spans="1:11" x14ac:dyDescent="0.25">
      <c r="A198" s="1">
        <v>47800</v>
      </c>
      <c r="B198">
        <f t="shared" si="36"/>
        <v>13</v>
      </c>
      <c r="C198">
        <f t="shared" si="33"/>
        <v>11</v>
      </c>
      <c r="D198">
        <f t="shared" si="34"/>
        <v>2030</v>
      </c>
      <c r="E198">
        <f t="shared" si="35"/>
        <v>3</v>
      </c>
      <c r="F198">
        <f t="shared" si="39"/>
        <v>0</v>
      </c>
      <c r="G198">
        <f t="shared" si="32"/>
        <v>0.49</v>
      </c>
      <c r="H198">
        <f t="shared" si="37"/>
        <v>0.49</v>
      </c>
      <c r="I198">
        <f t="shared" si="38"/>
        <v>0.49</v>
      </c>
      <c r="J198">
        <f t="shared" si="40"/>
        <v>96.709999999999752</v>
      </c>
      <c r="K198">
        <f t="shared" si="41"/>
        <v>0</v>
      </c>
    </row>
    <row r="199" spans="1:11" x14ac:dyDescent="0.25">
      <c r="A199" s="1">
        <v>47801</v>
      </c>
      <c r="B199">
        <f t="shared" si="36"/>
        <v>14</v>
      </c>
      <c r="C199">
        <f t="shared" si="33"/>
        <v>11</v>
      </c>
      <c r="D199">
        <f t="shared" si="34"/>
        <v>2030</v>
      </c>
      <c r="E199">
        <f t="shared" si="35"/>
        <v>4</v>
      </c>
      <c r="F199">
        <f t="shared" si="39"/>
        <v>0</v>
      </c>
      <c r="G199">
        <f t="shared" si="32"/>
        <v>0.49</v>
      </c>
      <c r="H199">
        <f t="shared" si="37"/>
        <v>0.49</v>
      </c>
      <c r="I199">
        <f t="shared" si="38"/>
        <v>0.49</v>
      </c>
      <c r="J199">
        <f t="shared" si="40"/>
        <v>97.199999999999747</v>
      </c>
      <c r="K199">
        <f t="shared" si="41"/>
        <v>0</v>
      </c>
    </row>
    <row r="200" spans="1:11" x14ac:dyDescent="0.25">
      <c r="A200" s="1">
        <v>47802</v>
      </c>
      <c r="B200">
        <f t="shared" si="36"/>
        <v>15</v>
      </c>
      <c r="C200">
        <f t="shared" si="33"/>
        <v>11</v>
      </c>
      <c r="D200">
        <f t="shared" si="34"/>
        <v>2030</v>
      </c>
      <c r="E200">
        <f t="shared" si="35"/>
        <v>5</v>
      </c>
      <c r="F200">
        <f t="shared" si="39"/>
        <v>0</v>
      </c>
      <c r="G200">
        <f t="shared" si="32"/>
        <v>0.49</v>
      </c>
      <c r="H200">
        <f t="shared" si="37"/>
        <v>0.49</v>
      </c>
      <c r="I200">
        <f t="shared" si="38"/>
        <v>0.49</v>
      </c>
      <c r="J200">
        <f t="shared" si="40"/>
        <v>97.689999999999742</v>
      </c>
      <c r="K200">
        <f t="shared" si="41"/>
        <v>0</v>
      </c>
    </row>
    <row r="201" spans="1:11" x14ac:dyDescent="0.25">
      <c r="A201" s="1">
        <v>47803</v>
      </c>
      <c r="B201">
        <f t="shared" si="36"/>
        <v>16</v>
      </c>
      <c r="C201">
        <f t="shared" si="33"/>
        <v>11</v>
      </c>
      <c r="D201">
        <f t="shared" si="34"/>
        <v>2030</v>
      </c>
      <c r="E201">
        <f t="shared" si="35"/>
        <v>6</v>
      </c>
      <c r="F201">
        <f t="shared" si="39"/>
        <v>0</v>
      </c>
      <c r="G201">
        <f t="shared" si="32"/>
        <v>0.49</v>
      </c>
      <c r="H201">
        <f t="shared" si="37"/>
        <v>0.49</v>
      </c>
      <c r="I201">
        <f t="shared" si="38"/>
        <v>0.49</v>
      </c>
      <c r="J201">
        <f t="shared" si="40"/>
        <v>98.179999999999737</v>
      </c>
      <c r="K201">
        <f t="shared" si="41"/>
        <v>0</v>
      </c>
    </row>
    <row r="202" spans="1:11" x14ac:dyDescent="0.25">
      <c r="A202" s="1">
        <v>47804</v>
      </c>
      <c r="B202">
        <f t="shared" si="36"/>
        <v>17</v>
      </c>
      <c r="C202">
        <f t="shared" si="33"/>
        <v>11</v>
      </c>
      <c r="D202">
        <f t="shared" si="34"/>
        <v>2030</v>
      </c>
      <c r="E202">
        <f t="shared" si="35"/>
        <v>7</v>
      </c>
      <c r="F202">
        <f t="shared" si="39"/>
        <v>0</v>
      </c>
      <c r="G202">
        <f t="shared" si="32"/>
        <v>0.49</v>
      </c>
      <c r="H202">
        <f t="shared" si="37"/>
        <v>0.49</v>
      </c>
      <c r="I202">
        <f t="shared" si="38"/>
        <v>0</v>
      </c>
      <c r="J202">
        <f t="shared" si="40"/>
        <v>98.179999999999737</v>
      </c>
      <c r="K202">
        <f t="shared" si="41"/>
        <v>0</v>
      </c>
    </row>
    <row r="203" spans="1:11" x14ac:dyDescent="0.25">
      <c r="A203" s="1">
        <v>47805</v>
      </c>
      <c r="B203">
        <f t="shared" si="36"/>
        <v>18</v>
      </c>
      <c r="C203">
        <f t="shared" si="33"/>
        <v>11</v>
      </c>
      <c r="D203">
        <f t="shared" si="34"/>
        <v>2030</v>
      </c>
      <c r="E203">
        <f t="shared" si="35"/>
        <v>1</v>
      </c>
      <c r="F203">
        <f t="shared" si="39"/>
        <v>0</v>
      </c>
      <c r="G203">
        <f t="shared" si="32"/>
        <v>0.49</v>
      </c>
      <c r="H203">
        <f t="shared" si="37"/>
        <v>0.49</v>
      </c>
      <c r="I203">
        <f t="shared" si="38"/>
        <v>0.49</v>
      </c>
      <c r="J203">
        <f t="shared" si="40"/>
        <v>98.669999999999732</v>
      </c>
      <c r="K203">
        <f t="shared" si="41"/>
        <v>0</v>
      </c>
    </row>
    <row r="204" spans="1:11" x14ac:dyDescent="0.25">
      <c r="A204" s="1">
        <v>47806</v>
      </c>
      <c r="B204">
        <f t="shared" si="36"/>
        <v>19</v>
      </c>
      <c r="C204">
        <f t="shared" si="33"/>
        <v>11</v>
      </c>
      <c r="D204">
        <f t="shared" si="34"/>
        <v>2030</v>
      </c>
      <c r="E204">
        <f t="shared" si="35"/>
        <v>2</v>
      </c>
      <c r="F204">
        <f t="shared" si="39"/>
        <v>0</v>
      </c>
      <c r="G204">
        <f t="shared" si="32"/>
        <v>0.49</v>
      </c>
      <c r="H204">
        <f t="shared" si="37"/>
        <v>0.49</v>
      </c>
      <c r="I204">
        <f t="shared" si="38"/>
        <v>0.49</v>
      </c>
      <c r="J204">
        <f t="shared" si="40"/>
        <v>99.159999999999727</v>
      </c>
      <c r="K204">
        <f t="shared" si="41"/>
        <v>0</v>
      </c>
    </row>
    <row r="205" spans="1:11" x14ac:dyDescent="0.25">
      <c r="A205" s="1">
        <v>47807</v>
      </c>
      <c r="B205">
        <f t="shared" si="36"/>
        <v>20</v>
      </c>
      <c r="C205">
        <f t="shared" si="33"/>
        <v>11</v>
      </c>
      <c r="D205">
        <f t="shared" si="34"/>
        <v>2030</v>
      </c>
      <c r="E205">
        <f t="shared" si="35"/>
        <v>3</v>
      </c>
      <c r="F205">
        <f t="shared" si="39"/>
        <v>0</v>
      </c>
      <c r="G205">
        <f t="shared" si="32"/>
        <v>0.49</v>
      </c>
      <c r="H205">
        <f t="shared" si="37"/>
        <v>0.49</v>
      </c>
      <c r="I205">
        <f t="shared" si="38"/>
        <v>0.49</v>
      </c>
      <c r="J205">
        <f t="shared" si="40"/>
        <v>99.649999999999721</v>
      </c>
      <c r="K205">
        <f t="shared" si="41"/>
        <v>0</v>
      </c>
    </row>
    <row r="206" spans="1:11" x14ac:dyDescent="0.25">
      <c r="A206" s="1">
        <v>47808</v>
      </c>
      <c r="B206">
        <f t="shared" si="36"/>
        <v>21</v>
      </c>
      <c r="C206">
        <f t="shared" si="33"/>
        <v>11</v>
      </c>
      <c r="D206">
        <f t="shared" si="34"/>
        <v>2030</v>
      </c>
      <c r="E206">
        <f t="shared" si="35"/>
        <v>4</v>
      </c>
      <c r="F206">
        <f t="shared" si="39"/>
        <v>0</v>
      </c>
      <c r="G206">
        <f t="shared" si="32"/>
        <v>0.49</v>
      </c>
      <c r="H206">
        <f t="shared" si="37"/>
        <v>0.49</v>
      </c>
      <c r="I206">
        <f t="shared" si="38"/>
        <v>0.49</v>
      </c>
      <c r="J206">
        <f t="shared" si="40"/>
        <v>100.13999999999972</v>
      </c>
      <c r="K206">
        <f t="shared" si="41"/>
        <v>0</v>
      </c>
    </row>
    <row r="207" spans="1:11" x14ac:dyDescent="0.25">
      <c r="A207" s="1">
        <v>47809</v>
      </c>
      <c r="B207">
        <f t="shared" si="36"/>
        <v>22</v>
      </c>
      <c r="C207">
        <f t="shared" si="33"/>
        <v>11</v>
      </c>
      <c r="D207">
        <f t="shared" si="34"/>
        <v>2030</v>
      </c>
      <c r="E207">
        <f t="shared" si="35"/>
        <v>5</v>
      </c>
      <c r="F207">
        <f t="shared" si="39"/>
        <v>0</v>
      </c>
      <c r="G207">
        <f t="shared" si="32"/>
        <v>0.49</v>
      </c>
      <c r="H207">
        <f t="shared" si="37"/>
        <v>0.49</v>
      </c>
      <c r="I207">
        <f t="shared" si="38"/>
        <v>0.49</v>
      </c>
      <c r="J207">
        <f t="shared" si="40"/>
        <v>100.62999999999971</v>
      </c>
      <c r="K207">
        <f t="shared" si="41"/>
        <v>0</v>
      </c>
    </row>
    <row r="208" spans="1:11" x14ac:dyDescent="0.25">
      <c r="A208" s="1">
        <v>47810</v>
      </c>
      <c r="B208">
        <f t="shared" si="36"/>
        <v>23</v>
      </c>
      <c r="C208">
        <f t="shared" si="33"/>
        <v>11</v>
      </c>
      <c r="D208">
        <f t="shared" si="34"/>
        <v>2030</v>
      </c>
      <c r="E208">
        <f t="shared" si="35"/>
        <v>6</v>
      </c>
      <c r="F208">
        <f t="shared" si="39"/>
        <v>0</v>
      </c>
      <c r="G208">
        <f t="shared" si="32"/>
        <v>0.49</v>
      </c>
      <c r="H208">
        <f t="shared" si="37"/>
        <v>0.49</v>
      </c>
      <c r="I208">
        <f t="shared" si="38"/>
        <v>0.49</v>
      </c>
      <c r="J208">
        <f t="shared" si="40"/>
        <v>101.11999999999971</v>
      </c>
      <c r="K208">
        <f t="shared" si="41"/>
        <v>0</v>
      </c>
    </row>
    <row r="209" spans="1:11" x14ac:dyDescent="0.25">
      <c r="A209" s="1">
        <v>47811</v>
      </c>
      <c r="B209">
        <f t="shared" si="36"/>
        <v>24</v>
      </c>
      <c r="C209">
        <f t="shared" si="33"/>
        <v>11</v>
      </c>
      <c r="D209">
        <f t="shared" si="34"/>
        <v>2030</v>
      </c>
      <c r="E209">
        <f t="shared" si="35"/>
        <v>7</v>
      </c>
      <c r="F209">
        <f t="shared" si="39"/>
        <v>0</v>
      </c>
      <c r="G209">
        <f t="shared" ref="G209:G272" si="42">IF(G208&lt;&gt;0,ROUNDUP(G208*0.98,2),ROUNDUP(G207*0.98,2))</f>
        <v>0.49</v>
      </c>
      <c r="H209">
        <f t="shared" si="37"/>
        <v>0.49</v>
      </c>
      <c r="I209">
        <f t="shared" si="38"/>
        <v>0</v>
      </c>
      <c r="J209">
        <f t="shared" si="40"/>
        <v>101.11999999999971</v>
      </c>
      <c r="K209">
        <f t="shared" si="41"/>
        <v>0</v>
      </c>
    </row>
    <row r="210" spans="1:11" x14ac:dyDescent="0.25">
      <c r="A210" s="1">
        <v>47812</v>
      </c>
      <c r="B210">
        <f t="shared" si="36"/>
        <v>25</v>
      </c>
      <c r="C210">
        <f t="shared" si="33"/>
        <v>11</v>
      </c>
      <c r="D210">
        <f t="shared" si="34"/>
        <v>2030</v>
      </c>
      <c r="E210">
        <f t="shared" si="35"/>
        <v>1</v>
      </c>
      <c r="F210">
        <f t="shared" si="39"/>
        <v>0</v>
      </c>
      <c r="G210">
        <f t="shared" si="42"/>
        <v>0.49</v>
      </c>
      <c r="H210">
        <f t="shared" si="37"/>
        <v>0.49</v>
      </c>
      <c r="I210">
        <f t="shared" si="38"/>
        <v>0.49</v>
      </c>
      <c r="J210">
        <f t="shared" si="40"/>
        <v>101.6099999999997</v>
      </c>
      <c r="K210">
        <f t="shared" si="41"/>
        <v>0</v>
      </c>
    </row>
    <row r="211" spans="1:11" x14ac:dyDescent="0.25">
      <c r="A211" s="1">
        <v>47813</v>
      </c>
      <c r="B211">
        <f t="shared" si="36"/>
        <v>26</v>
      </c>
      <c r="C211">
        <f t="shared" si="33"/>
        <v>11</v>
      </c>
      <c r="D211">
        <f t="shared" si="34"/>
        <v>2030</v>
      </c>
      <c r="E211">
        <f t="shared" si="35"/>
        <v>2</v>
      </c>
      <c r="F211">
        <f t="shared" si="39"/>
        <v>0</v>
      </c>
      <c r="G211">
        <f t="shared" si="42"/>
        <v>0.49</v>
      </c>
      <c r="H211">
        <f t="shared" si="37"/>
        <v>0.49</v>
      </c>
      <c r="I211">
        <f t="shared" si="38"/>
        <v>0.49</v>
      </c>
      <c r="J211">
        <f t="shared" si="40"/>
        <v>102.0999999999997</v>
      </c>
      <c r="K211">
        <f t="shared" si="41"/>
        <v>0</v>
      </c>
    </row>
    <row r="212" spans="1:11" x14ac:dyDescent="0.25">
      <c r="A212" s="1">
        <v>47814</v>
      </c>
      <c r="B212">
        <f t="shared" si="36"/>
        <v>27</v>
      </c>
      <c r="C212">
        <f t="shared" si="33"/>
        <v>11</v>
      </c>
      <c r="D212">
        <f t="shared" si="34"/>
        <v>2030</v>
      </c>
      <c r="E212">
        <f t="shared" si="35"/>
        <v>3</v>
      </c>
      <c r="F212">
        <f t="shared" si="39"/>
        <v>0</v>
      </c>
      <c r="G212">
        <f t="shared" si="42"/>
        <v>0.49</v>
      </c>
      <c r="H212">
        <f t="shared" si="37"/>
        <v>0.49</v>
      </c>
      <c r="I212">
        <f t="shared" si="38"/>
        <v>0.49</v>
      </c>
      <c r="J212">
        <f t="shared" si="40"/>
        <v>102.58999999999969</v>
      </c>
      <c r="K212">
        <f t="shared" si="41"/>
        <v>0</v>
      </c>
    </row>
    <row r="213" spans="1:11" x14ac:dyDescent="0.25">
      <c r="A213" s="1">
        <v>47815</v>
      </c>
      <c r="B213">
        <f t="shared" si="36"/>
        <v>28</v>
      </c>
      <c r="C213">
        <f t="shared" si="33"/>
        <v>11</v>
      </c>
      <c r="D213">
        <f t="shared" si="34"/>
        <v>2030</v>
      </c>
      <c r="E213">
        <f t="shared" si="35"/>
        <v>4</v>
      </c>
      <c r="F213">
        <f t="shared" si="39"/>
        <v>0</v>
      </c>
      <c r="G213">
        <f t="shared" si="42"/>
        <v>0.49</v>
      </c>
      <c r="H213">
        <f t="shared" si="37"/>
        <v>0.49</v>
      </c>
      <c r="I213">
        <f t="shared" si="38"/>
        <v>0.49</v>
      </c>
      <c r="J213">
        <f t="shared" si="40"/>
        <v>103.07999999999969</v>
      </c>
      <c r="K213">
        <f t="shared" si="41"/>
        <v>0</v>
      </c>
    </row>
    <row r="214" spans="1:11" x14ac:dyDescent="0.25">
      <c r="A214" s="1">
        <v>47816</v>
      </c>
      <c r="B214">
        <f t="shared" si="36"/>
        <v>29</v>
      </c>
      <c r="C214">
        <f t="shared" si="33"/>
        <v>11</v>
      </c>
      <c r="D214">
        <f t="shared" si="34"/>
        <v>2030</v>
      </c>
      <c r="E214">
        <f t="shared" si="35"/>
        <v>5</v>
      </c>
      <c r="F214">
        <f t="shared" si="39"/>
        <v>0</v>
      </c>
      <c r="G214">
        <f t="shared" si="42"/>
        <v>0.49</v>
      </c>
      <c r="H214">
        <f t="shared" si="37"/>
        <v>0.49</v>
      </c>
      <c r="I214">
        <f t="shared" si="38"/>
        <v>0.49</v>
      </c>
      <c r="J214">
        <f t="shared" si="40"/>
        <v>103.56999999999968</v>
      </c>
      <c r="K214">
        <f t="shared" si="41"/>
        <v>0</v>
      </c>
    </row>
    <row r="215" spans="1:11" x14ac:dyDescent="0.25">
      <c r="A215" s="1">
        <v>47817</v>
      </c>
      <c r="B215">
        <f t="shared" si="36"/>
        <v>30</v>
      </c>
      <c r="C215">
        <f t="shared" si="33"/>
        <v>11</v>
      </c>
      <c r="D215">
        <f t="shared" si="34"/>
        <v>2030</v>
      </c>
      <c r="E215">
        <f t="shared" si="35"/>
        <v>6</v>
      </c>
      <c r="F215">
        <f t="shared" si="39"/>
        <v>0</v>
      </c>
      <c r="G215">
        <f t="shared" si="42"/>
        <v>0.49</v>
      </c>
      <c r="H215">
        <f t="shared" si="37"/>
        <v>0.49</v>
      </c>
      <c r="I215">
        <f t="shared" si="38"/>
        <v>0.49</v>
      </c>
      <c r="J215">
        <f t="shared" si="40"/>
        <v>104.05999999999968</v>
      </c>
      <c r="K215">
        <f t="shared" si="41"/>
        <v>0</v>
      </c>
    </row>
    <row r="216" spans="1:11" x14ac:dyDescent="0.25">
      <c r="A216" s="1">
        <v>47818</v>
      </c>
      <c r="B216">
        <f t="shared" si="36"/>
        <v>1</v>
      </c>
      <c r="C216">
        <f t="shared" si="33"/>
        <v>12</v>
      </c>
      <c r="D216">
        <f t="shared" si="34"/>
        <v>2030</v>
      </c>
      <c r="E216">
        <f t="shared" si="35"/>
        <v>7</v>
      </c>
      <c r="F216">
        <f t="shared" si="39"/>
        <v>1</v>
      </c>
      <c r="G216">
        <f t="shared" si="42"/>
        <v>0.49</v>
      </c>
      <c r="H216">
        <f t="shared" si="37"/>
        <v>0.5635</v>
      </c>
      <c r="I216">
        <f t="shared" si="38"/>
        <v>0</v>
      </c>
      <c r="J216">
        <f t="shared" si="40"/>
        <v>104.05999999999968</v>
      </c>
      <c r="K216">
        <f t="shared" si="41"/>
        <v>0</v>
      </c>
    </row>
    <row r="217" spans="1:11" x14ac:dyDescent="0.25">
      <c r="A217" s="1">
        <v>47819</v>
      </c>
      <c r="B217">
        <f t="shared" si="36"/>
        <v>2</v>
      </c>
      <c r="C217">
        <f t="shared" si="33"/>
        <v>12</v>
      </c>
      <c r="D217">
        <f t="shared" si="34"/>
        <v>2030</v>
      </c>
      <c r="E217">
        <f t="shared" si="35"/>
        <v>1</v>
      </c>
      <c r="F217">
        <f t="shared" si="39"/>
        <v>0</v>
      </c>
      <c r="G217">
        <f t="shared" si="42"/>
        <v>0.49</v>
      </c>
      <c r="H217">
        <f t="shared" si="37"/>
        <v>0.49</v>
      </c>
      <c r="I217">
        <f t="shared" si="38"/>
        <v>0.49</v>
      </c>
      <c r="J217">
        <f t="shared" si="40"/>
        <v>104.54999999999967</v>
      </c>
      <c r="K217">
        <f t="shared" si="41"/>
        <v>0</v>
      </c>
    </row>
    <row r="218" spans="1:11" x14ac:dyDescent="0.25">
      <c r="A218" s="1">
        <v>47820</v>
      </c>
      <c r="B218">
        <f t="shared" si="36"/>
        <v>3</v>
      </c>
      <c r="C218">
        <f t="shared" si="33"/>
        <v>12</v>
      </c>
      <c r="D218">
        <f t="shared" si="34"/>
        <v>2030</v>
      </c>
      <c r="E218">
        <f t="shared" si="35"/>
        <v>2</v>
      </c>
      <c r="F218">
        <f t="shared" si="39"/>
        <v>0</v>
      </c>
      <c r="G218">
        <f t="shared" si="42"/>
        <v>0.49</v>
      </c>
      <c r="H218">
        <f t="shared" si="37"/>
        <v>0.49</v>
      </c>
      <c r="I218">
        <f t="shared" si="38"/>
        <v>0.49</v>
      </c>
      <c r="J218">
        <f t="shared" si="40"/>
        <v>105.03999999999967</v>
      </c>
      <c r="K218">
        <f t="shared" si="41"/>
        <v>0</v>
      </c>
    </row>
    <row r="219" spans="1:11" x14ac:dyDescent="0.25">
      <c r="A219" s="1">
        <v>47821</v>
      </c>
      <c r="B219">
        <f t="shared" si="36"/>
        <v>4</v>
      </c>
      <c r="C219">
        <f t="shared" si="33"/>
        <v>12</v>
      </c>
      <c r="D219">
        <f t="shared" si="34"/>
        <v>2030</v>
      </c>
      <c r="E219">
        <f t="shared" si="35"/>
        <v>3</v>
      </c>
      <c r="F219">
        <f t="shared" si="39"/>
        <v>0</v>
      </c>
      <c r="G219">
        <f t="shared" si="42"/>
        <v>0.49</v>
      </c>
      <c r="H219">
        <f t="shared" si="37"/>
        <v>0.49</v>
      </c>
      <c r="I219">
        <f t="shared" si="38"/>
        <v>0.49</v>
      </c>
      <c r="J219">
        <f t="shared" si="40"/>
        <v>105.52999999999966</v>
      </c>
      <c r="K219">
        <f t="shared" si="41"/>
        <v>0</v>
      </c>
    </row>
    <row r="220" spans="1:11" x14ac:dyDescent="0.25">
      <c r="A220" s="1">
        <v>47822</v>
      </c>
      <c r="B220">
        <f t="shared" si="36"/>
        <v>5</v>
      </c>
      <c r="C220">
        <f t="shared" si="33"/>
        <v>12</v>
      </c>
      <c r="D220">
        <f t="shared" si="34"/>
        <v>2030</v>
      </c>
      <c r="E220">
        <f t="shared" si="35"/>
        <v>4</v>
      </c>
      <c r="F220">
        <f t="shared" si="39"/>
        <v>0</v>
      </c>
      <c r="G220">
        <f t="shared" si="42"/>
        <v>0.49</v>
      </c>
      <c r="H220">
        <f t="shared" si="37"/>
        <v>0.49</v>
      </c>
      <c r="I220">
        <f t="shared" si="38"/>
        <v>0.49</v>
      </c>
      <c r="J220">
        <f t="shared" si="40"/>
        <v>106.01999999999965</v>
      </c>
      <c r="K220">
        <f t="shared" si="41"/>
        <v>0</v>
      </c>
    </row>
    <row r="221" spans="1:11" x14ac:dyDescent="0.25">
      <c r="A221" s="1">
        <v>47823</v>
      </c>
      <c r="B221">
        <f t="shared" si="36"/>
        <v>6</v>
      </c>
      <c r="C221">
        <f t="shared" si="33"/>
        <v>12</v>
      </c>
      <c r="D221">
        <f t="shared" si="34"/>
        <v>2030</v>
      </c>
      <c r="E221">
        <f t="shared" si="35"/>
        <v>5</v>
      </c>
      <c r="F221">
        <f t="shared" si="39"/>
        <v>0</v>
      </c>
      <c r="G221">
        <f t="shared" si="42"/>
        <v>0.49</v>
      </c>
      <c r="H221">
        <f t="shared" si="37"/>
        <v>0.49</v>
      </c>
      <c r="I221">
        <f t="shared" si="38"/>
        <v>0.49</v>
      </c>
      <c r="J221">
        <f t="shared" si="40"/>
        <v>106.50999999999965</v>
      </c>
      <c r="K221">
        <f t="shared" si="41"/>
        <v>0</v>
      </c>
    </row>
    <row r="222" spans="1:11" x14ac:dyDescent="0.25">
      <c r="A222" s="1">
        <v>47824</v>
      </c>
      <c r="B222">
        <f t="shared" si="36"/>
        <v>7</v>
      </c>
      <c r="C222">
        <f t="shared" si="33"/>
        <v>12</v>
      </c>
      <c r="D222">
        <f t="shared" si="34"/>
        <v>2030</v>
      </c>
      <c r="E222">
        <f t="shared" si="35"/>
        <v>6</v>
      </c>
      <c r="F222">
        <f t="shared" si="39"/>
        <v>0</v>
      </c>
      <c r="G222">
        <f t="shared" si="42"/>
        <v>0.49</v>
      </c>
      <c r="H222">
        <f t="shared" si="37"/>
        <v>0.49</v>
      </c>
      <c r="I222">
        <f t="shared" si="38"/>
        <v>0.49</v>
      </c>
      <c r="J222">
        <f t="shared" si="40"/>
        <v>106.99999999999964</v>
      </c>
      <c r="K222">
        <f t="shared" si="41"/>
        <v>0</v>
      </c>
    </row>
    <row r="223" spans="1:11" x14ac:dyDescent="0.25">
      <c r="A223" s="1">
        <v>47825</v>
      </c>
      <c r="B223">
        <f t="shared" si="36"/>
        <v>8</v>
      </c>
      <c r="C223">
        <f t="shared" si="33"/>
        <v>12</v>
      </c>
      <c r="D223">
        <f t="shared" si="34"/>
        <v>2030</v>
      </c>
      <c r="E223">
        <f t="shared" si="35"/>
        <v>7</v>
      </c>
      <c r="F223">
        <f t="shared" si="39"/>
        <v>0</v>
      </c>
      <c r="G223">
        <f t="shared" si="42"/>
        <v>0.49</v>
      </c>
      <c r="H223">
        <f t="shared" si="37"/>
        <v>0.49</v>
      </c>
      <c r="I223">
        <f t="shared" si="38"/>
        <v>0</v>
      </c>
      <c r="J223">
        <f t="shared" si="40"/>
        <v>106.99999999999964</v>
      </c>
      <c r="K223">
        <f t="shared" si="41"/>
        <v>0</v>
      </c>
    </row>
    <row r="224" spans="1:11" x14ac:dyDescent="0.25">
      <c r="A224" s="1">
        <v>47826</v>
      </c>
      <c r="B224">
        <f t="shared" si="36"/>
        <v>9</v>
      </c>
      <c r="C224">
        <f t="shared" si="33"/>
        <v>12</v>
      </c>
      <c r="D224">
        <f t="shared" si="34"/>
        <v>2030</v>
      </c>
      <c r="E224">
        <f t="shared" si="35"/>
        <v>1</v>
      </c>
      <c r="F224">
        <f t="shared" si="39"/>
        <v>0</v>
      </c>
      <c r="G224">
        <f t="shared" si="42"/>
        <v>0.49</v>
      </c>
      <c r="H224">
        <f t="shared" si="37"/>
        <v>0.49</v>
      </c>
      <c r="I224">
        <f t="shared" si="38"/>
        <v>0.49</v>
      </c>
      <c r="J224">
        <f t="shared" si="40"/>
        <v>107.48999999999964</v>
      </c>
      <c r="K224">
        <f t="shared" si="41"/>
        <v>0</v>
      </c>
    </row>
    <row r="225" spans="1:11" x14ac:dyDescent="0.25">
      <c r="A225" s="1">
        <v>47827</v>
      </c>
      <c r="B225">
        <f t="shared" si="36"/>
        <v>10</v>
      </c>
      <c r="C225">
        <f t="shared" si="33"/>
        <v>12</v>
      </c>
      <c r="D225">
        <f t="shared" si="34"/>
        <v>2030</v>
      </c>
      <c r="E225">
        <f t="shared" si="35"/>
        <v>2</v>
      </c>
      <c r="F225">
        <f t="shared" si="39"/>
        <v>0</v>
      </c>
      <c r="G225">
        <f t="shared" si="42"/>
        <v>0.49</v>
      </c>
      <c r="H225">
        <f t="shared" si="37"/>
        <v>0.49</v>
      </c>
      <c r="I225">
        <f t="shared" si="38"/>
        <v>0.49</v>
      </c>
      <c r="J225">
        <f t="shared" si="40"/>
        <v>107.97999999999963</v>
      </c>
      <c r="K225">
        <f t="shared" si="41"/>
        <v>0</v>
      </c>
    </row>
    <row r="226" spans="1:11" x14ac:dyDescent="0.25">
      <c r="A226" s="1">
        <v>47828</v>
      </c>
      <c r="B226">
        <f t="shared" si="36"/>
        <v>11</v>
      </c>
      <c r="C226">
        <f t="shared" si="33"/>
        <v>12</v>
      </c>
      <c r="D226">
        <f t="shared" si="34"/>
        <v>2030</v>
      </c>
      <c r="E226">
        <f t="shared" si="35"/>
        <v>3</v>
      </c>
      <c r="F226">
        <f t="shared" si="39"/>
        <v>0</v>
      </c>
      <c r="G226">
        <f t="shared" si="42"/>
        <v>0.49</v>
      </c>
      <c r="H226">
        <f t="shared" si="37"/>
        <v>0.49</v>
      </c>
      <c r="I226">
        <f t="shared" si="38"/>
        <v>0.49</v>
      </c>
      <c r="J226">
        <f t="shared" si="40"/>
        <v>108.46999999999963</v>
      </c>
      <c r="K226">
        <f t="shared" si="41"/>
        <v>0</v>
      </c>
    </row>
    <row r="227" spans="1:11" x14ac:dyDescent="0.25">
      <c r="A227" s="1">
        <v>47829</v>
      </c>
      <c r="B227">
        <f t="shared" si="36"/>
        <v>12</v>
      </c>
      <c r="C227">
        <f t="shared" si="33"/>
        <v>12</v>
      </c>
      <c r="D227">
        <f t="shared" si="34"/>
        <v>2030</v>
      </c>
      <c r="E227">
        <f t="shared" si="35"/>
        <v>4</v>
      </c>
      <c r="F227">
        <f t="shared" si="39"/>
        <v>0</v>
      </c>
      <c r="G227">
        <f t="shared" si="42"/>
        <v>0.49</v>
      </c>
      <c r="H227">
        <f t="shared" si="37"/>
        <v>0.49</v>
      </c>
      <c r="I227">
        <f t="shared" si="38"/>
        <v>0.49</v>
      </c>
      <c r="J227">
        <f t="shared" si="40"/>
        <v>108.95999999999962</v>
      </c>
      <c r="K227">
        <f t="shared" si="41"/>
        <v>0</v>
      </c>
    </row>
    <row r="228" spans="1:11" x14ac:dyDescent="0.25">
      <c r="A228" s="1">
        <v>47830</v>
      </c>
      <c r="B228">
        <f t="shared" si="36"/>
        <v>13</v>
      </c>
      <c r="C228">
        <f t="shared" si="33"/>
        <v>12</v>
      </c>
      <c r="D228">
        <f t="shared" si="34"/>
        <v>2030</v>
      </c>
      <c r="E228">
        <f t="shared" si="35"/>
        <v>5</v>
      </c>
      <c r="F228">
        <f t="shared" si="39"/>
        <v>0</v>
      </c>
      <c r="G228">
        <f t="shared" si="42"/>
        <v>0.49</v>
      </c>
      <c r="H228">
        <f t="shared" si="37"/>
        <v>0.49</v>
      </c>
      <c r="I228">
        <f t="shared" si="38"/>
        <v>0.49</v>
      </c>
      <c r="J228">
        <f t="shared" si="40"/>
        <v>109.44999999999962</v>
      </c>
      <c r="K228">
        <f t="shared" si="41"/>
        <v>0</v>
      </c>
    </row>
    <row r="229" spans="1:11" x14ac:dyDescent="0.25">
      <c r="A229" s="1">
        <v>47831</v>
      </c>
      <c r="B229">
        <f t="shared" si="36"/>
        <v>14</v>
      </c>
      <c r="C229">
        <f t="shared" si="33"/>
        <v>12</v>
      </c>
      <c r="D229">
        <f t="shared" si="34"/>
        <v>2030</v>
      </c>
      <c r="E229">
        <f t="shared" si="35"/>
        <v>6</v>
      </c>
      <c r="F229">
        <f t="shared" si="39"/>
        <v>0</v>
      </c>
      <c r="G229">
        <f t="shared" si="42"/>
        <v>0.49</v>
      </c>
      <c r="H229">
        <f t="shared" si="37"/>
        <v>0.49</v>
      </c>
      <c r="I229">
        <f t="shared" si="38"/>
        <v>0.49</v>
      </c>
      <c r="J229">
        <f t="shared" si="40"/>
        <v>109.93999999999961</v>
      </c>
      <c r="K229">
        <f t="shared" si="41"/>
        <v>0</v>
      </c>
    </row>
    <row r="230" spans="1:11" x14ac:dyDescent="0.25">
      <c r="A230" s="1">
        <v>47832</v>
      </c>
      <c r="B230">
        <f t="shared" si="36"/>
        <v>15</v>
      </c>
      <c r="C230">
        <f t="shared" si="33"/>
        <v>12</v>
      </c>
      <c r="D230">
        <f t="shared" si="34"/>
        <v>2030</v>
      </c>
      <c r="E230">
        <f t="shared" si="35"/>
        <v>7</v>
      </c>
      <c r="F230">
        <f t="shared" si="39"/>
        <v>0</v>
      </c>
      <c r="G230">
        <f t="shared" si="42"/>
        <v>0.49</v>
      </c>
      <c r="H230">
        <f t="shared" si="37"/>
        <v>0.49</v>
      </c>
      <c r="I230">
        <f t="shared" si="38"/>
        <v>0</v>
      </c>
      <c r="J230">
        <f t="shared" si="40"/>
        <v>109.93999999999961</v>
      </c>
      <c r="K230">
        <f t="shared" si="41"/>
        <v>0</v>
      </c>
    </row>
    <row r="231" spans="1:11" x14ac:dyDescent="0.25">
      <c r="A231" s="1">
        <v>47833</v>
      </c>
      <c r="B231">
        <f t="shared" si="36"/>
        <v>16</v>
      </c>
      <c r="C231">
        <f t="shared" si="33"/>
        <v>12</v>
      </c>
      <c r="D231">
        <f t="shared" si="34"/>
        <v>2030</v>
      </c>
      <c r="E231">
        <f t="shared" si="35"/>
        <v>1</v>
      </c>
      <c r="F231">
        <f t="shared" si="39"/>
        <v>0</v>
      </c>
      <c r="G231">
        <f t="shared" si="42"/>
        <v>0.49</v>
      </c>
      <c r="H231">
        <f t="shared" si="37"/>
        <v>0.49</v>
      </c>
      <c r="I231">
        <f t="shared" si="38"/>
        <v>0.49</v>
      </c>
      <c r="J231">
        <f t="shared" si="40"/>
        <v>110.42999999999961</v>
      </c>
      <c r="K231">
        <f t="shared" si="41"/>
        <v>0</v>
      </c>
    </row>
    <row r="232" spans="1:11" x14ac:dyDescent="0.25">
      <c r="A232" s="1">
        <v>47834</v>
      </c>
      <c r="B232">
        <f t="shared" si="36"/>
        <v>17</v>
      </c>
      <c r="C232">
        <f t="shared" si="33"/>
        <v>12</v>
      </c>
      <c r="D232">
        <f t="shared" si="34"/>
        <v>2030</v>
      </c>
      <c r="E232">
        <f t="shared" si="35"/>
        <v>2</v>
      </c>
      <c r="F232">
        <f t="shared" si="39"/>
        <v>0</v>
      </c>
      <c r="G232">
        <f t="shared" si="42"/>
        <v>0.49</v>
      </c>
      <c r="H232">
        <f t="shared" si="37"/>
        <v>0.49</v>
      </c>
      <c r="I232">
        <f t="shared" si="38"/>
        <v>0.49</v>
      </c>
      <c r="J232">
        <f t="shared" si="40"/>
        <v>110.9199999999996</v>
      </c>
      <c r="K232">
        <f t="shared" si="41"/>
        <v>0</v>
      </c>
    </row>
    <row r="233" spans="1:11" x14ac:dyDescent="0.25">
      <c r="A233" s="1">
        <v>47835</v>
      </c>
      <c r="B233">
        <f t="shared" si="36"/>
        <v>18</v>
      </c>
      <c r="C233">
        <f t="shared" si="33"/>
        <v>12</v>
      </c>
      <c r="D233">
        <f t="shared" si="34"/>
        <v>2030</v>
      </c>
      <c r="E233">
        <f t="shared" si="35"/>
        <v>3</v>
      </c>
      <c r="F233">
        <f t="shared" si="39"/>
        <v>0</v>
      </c>
      <c r="G233">
        <f t="shared" si="42"/>
        <v>0.49</v>
      </c>
      <c r="H233">
        <f t="shared" si="37"/>
        <v>0.49</v>
      </c>
      <c r="I233">
        <f t="shared" si="38"/>
        <v>0.49</v>
      </c>
      <c r="J233">
        <f t="shared" si="40"/>
        <v>111.4099999999996</v>
      </c>
      <c r="K233">
        <f t="shared" si="41"/>
        <v>0</v>
      </c>
    </row>
    <row r="234" spans="1:11" x14ac:dyDescent="0.25">
      <c r="A234" s="1">
        <v>47836</v>
      </c>
      <c r="B234">
        <f t="shared" si="36"/>
        <v>19</v>
      </c>
      <c r="C234">
        <f t="shared" si="33"/>
        <v>12</v>
      </c>
      <c r="D234">
        <f t="shared" si="34"/>
        <v>2030</v>
      </c>
      <c r="E234">
        <f t="shared" si="35"/>
        <v>4</v>
      </c>
      <c r="F234">
        <f t="shared" si="39"/>
        <v>0</v>
      </c>
      <c r="G234">
        <f t="shared" si="42"/>
        <v>0.49</v>
      </c>
      <c r="H234">
        <f t="shared" si="37"/>
        <v>0.49</v>
      </c>
      <c r="I234">
        <f t="shared" si="38"/>
        <v>0.49</v>
      </c>
      <c r="J234">
        <f t="shared" si="40"/>
        <v>111.89999999999959</v>
      </c>
      <c r="K234">
        <f t="shared" si="41"/>
        <v>0</v>
      </c>
    </row>
    <row r="235" spans="1:11" x14ac:dyDescent="0.25">
      <c r="A235" s="1">
        <v>47837</v>
      </c>
      <c r="B235">
        <f t="shared" si="36"/>
        <v>20</v>
      </c>
      <c r="C235">
        <f t="shared" si="33"/>
        <v>12</v>
      </c>
      <c r="D235">
        <f t="shared" si="34"/>
        <v>2030</v>
      </c>
      <c r="E235">
        <f t="shared" si="35"/>
        <v>5</v>
      </c>
      <c r="F235">
        <f t="shared" si="39"/>
        <v>0</v>
      </c>
      <c r="G235">
        <f t="shared" si="42"/>
        <v>0.49</v>
      </c>
      <c r="H235">
        <f t="shared" si="37"/>
        <v>0.49</v>
      </c>
      <c r="I235">
        <f t="shared" si="38"/>
        <v>0.49</v>
      </c>
      <c r="J235">
        <f t="shared" si="40"/>
        <v>112.38999999999959</v>
      </c>
      <c r="K235">
        <f t="shared" si="41"/>
        <v>0</v>
      </c>
    </row>
    <row r="236" spans="1:11" x14ac:dyDescent="0.25">
      <c r="A236" s="1">
        <v>47838</v>
      </c>
      <c r="B236">
        <f t="shared" si="36"/>
        <v>21</v>
      </c>
      <c r="C236">
        <f t="shared" si="33"/>
        <v>12</v>
      </c>
      <c r="D236">
        <f t="shared" si="34"/>
        <v>2030</v>
      </c>
      <c r="E236">
        <f t="shared" si="35"/>
        <v>6</v>
      </c>
      <c r="F236">
        <f t="shared" si="39"/>
        <v>0</v>
      </c>
      <c r="G236">
        <f t="shared" si="42"/>
        <v>0.49</v>
      </c>
      <c r="H236">
        <f t="shared" si="37"/>
        <v>0.49</v>
      </c>
      <c r="I236">
        <f t="shared" si="38"/>
        <v>0.49</v>
      </c>
      <c r="J236">
        <f t="shared" si="40"/>
        <v>112.87999999999958</v>
      </c>
      <c r="K236">
        <f t="shared" si="41"/>
        <v>0</v>
      </c>
    </row>
    <row r="237" spans="1:11" x14ac:dyDescent="0.25">
      <c r="A237" s="1">
        <v>47839</v>
      </c>
      <c r="B237">
        <f t="shared" si="36"/>
        <v>22</v>
      </c>
      <c r="C237">
        <f t="shared" si="33"/>
        <v>12</v>
      </c>
      <c r="D237">
        <f t="shared" si="34"/>
        <v>2030</v>
      </c>
      <c r="E237">
        <f t="shared" si="35"/>
        <v>7</v>
      </c>
      <c r="F237">
        <f t="shared" si="39"/>
        <v>0</v>
      </c>
      <c r="G237">
        <f t="shared" si="42"/>
        <v>0.49</v>
      </c>
      <c r="H237">
        <f t="shared" si="37"/>
        <v>0.49</v>
      </c>
      <c r="I237">
        <f t="shared" si="38"/>
        <v>0</v>
      </c>
      <c r="J237">
        <f t="shared" si="40"/>
        <v>112.87999999999958</v>
      </c>
      <c r="K237">
        <f t="shared" si="41"/>
        <v>0</v>
      </c>
    </row>
    <row r="238" spans="1:11" x14ac:dyDescent="0.25">
      <c r="A238" s="1">
        <v>47840</v>
      </c>
      <c r="B238">
        <f t="shared" si="36"/>
        <v>23</v>
      </c>
      <c r="C238">
        <f t="shared" ref="C238:C301" si="43">MONTH(A238)</f>
        <v>12</v>
      </c>
      <c r="D238">
        <f t="shared" ref="D238:D301" si="44">YEAR(A238)</f>
        <v>2030</v>
      </c>
      <c r="E238">
        <f t="shared" ref="E238:E301" si="45">WEEKDAY(A238,2)</f>
        <v>1</v>
      </c>
      <c r="F238">
        <f t="shared" si="39"/>
        <v>0</v>
      </c>
      <c r="G238">
        <f t="shared" si="42"/>
        <v>0.49</v>
      </c>
      <c r="H238">
        <f t="shared" si="37"/>
        <v>0.49</v>
      </c>
      <c r="I238">
        <f t="shared" si="38"/>
        <v>0.49</v>
      </c>
      <c r="J238">
        <f t="shared" si="40"/>
        <v>113.36999999999958</v>
      </c>
      <c r="K238">
        <f t="shared" si="41"/>
        <v>0</v>
      </c>
    </row>
    <row r="239" spans="1:11" x14ac:dyDescent="0.25">
      <c r="A239" s="1">
        <v>47841</v>
      </c>
      <c r="B239">
        <f t="shared" si="36"/>
        <v>24</v>
      </c>
      <c r="C239">
        <f t="shared" si="43"/>
        <v>12</v>
      </c>
      <c r="D239">
        <f t="shared" si="44"/>
        <v>2030</v>
      </c>
      <c r="E239">
        <f t="shared" si="45"/>
        <v>2</v>
      </c>
      <c r="F239">
        <f t="shared" si="39"/>
        <v>0</v>
      </c>
      <c r="G239">
        <f t="shared" si="42"/>
        <v>0.49</v>
      </c>
      <c r="H239">
        <f t="shared" si="37"/>
        <v>0.49</v>
      </c>
      <c r="I239">
        <f t="shared" si="38"/>
        <v>0.49</v>
      </c>
      <c r="J239">
        <f t="shared" si="40"/>
        <v>113.85999999999957</v>
      </c>
      <c r="K239">
        <f t="shared" si="41"/>
        <v>0</v>
      </c>
    </row>
    <row r="240" spans="1:11" x14ac:dyDescent="0.25">
      <c r="A240" s="1">
        <v>47842</v>
      </c>
      <c r="B240">
        <f t="shared" si="36"/>
        <v>25</v>
      </c>
      <c r="C240">
        <f t="shared" si="43"/>
        <v>12</v>
      </c>
      <c r="D240">
        <f t="shared" si="44"/>
        <v>2030</v>
      </c>
      <c r="E240">
        <f t="shared" si="45"/>
        <v>3</v>
      </c>
      <c r="F240">
        <f t="shared" si="39"/>
        <v>0</v>
      </c>
      <c r="G240">
        <f t="shared" si="42"/>
        <v>0.49</v>
      </c>
      <c r="H240">
        <f t="shared" si="37"/>
        <v>0.49</v>
      </c>
      <c r="I240">
        <f t="shared" si="38"/>
        <v>0.49</v>
      </c>
      <c r="J240">
        <f t="shared" si="40"/>
        <v>114.34999999999957</v>
      </c>
      <c r="K240">
        <f t="shared" si="41"/>
        <v>0</v>
      </c>
    </row>
    <row r="241" spans="1:11" x14ac:dyDescent="0.25">
      <c r="A241" s="1">
        <v>47843</v>
      </c>
      <c r="B241">
        <f t="shared" si="36"/>
        <v>26</v>
      </c>
      <c r="C241">
        <f t="shared" si="43"/>
        <v>12</v>
      </c>
      <c r="D241">
        <f t="shared" si="44"/>
        <v>2030</v>
      </c>
      <c r="E241">
        <f t="shared" si="45"/>
        <v>4</v>
      </c>
      <c r="F241">
        <f t="shared" si="39"/>
        <v>0</v>
      </c>
      <c r="G241">
        <f t="shared" si="42"/>
        <v>0.49</v>
      </c>
      <c r="H241">
        <f t="shared" si="37"/>
        <v>0.49</v>
      </c>
      <c r="I241">
        <f t="shared" si="38"/>
        <v>0.49</v>
      </c>
      <c r="J241">
        <f t="shared" si="40"/>
        <v>114.83999999999956</v>
      </c>
      <c r="K241">
        <f t="shared" si="41"/>
        <v>0</v>
      </c>
    </row>
    <row r="242" spans="1:11" x14ac:dyDescent="0.25">
      <c r="A242" s="1">
        <v>47844</v>
      </c>
      <c r="B242">
        <f t="shared" si="36"/>
        <v>27</v>
      </c>
      <c r="C242">
        <f t="shared" si="43"/>
        <v>12</v>
      </c>
      <c r="D242">
        <f t="shared" si="44"/>
        <v>2030</v>
      </c>
      <c r="E242">
        <f t="shared" si="45"/>
        <v>5</v>
      </c>
      <c r="F242">
        <f t="shared" si="39"/>
        <v>0</v>
      </c>
      <c r="G242">
        <f t="shared" si="42"/>
        <v>0.49</v>
      </c>
      <c r="H242">
        <f t="shared" si="37"/>
        <v>0.49</v>
      </c>
      <c r="I242">
        <f t="shared" si="38"/>
        <v>0.49</v>
      </c>
      <c r="J242">
        <f t="shared" si="40"/>
        <v>115.32999999999956</v>
      </c>
      <c r="K242">
        <f t="shared" si="41"/>
        <v>0</v>
      </c>
    </row>
    <row r="243" spans="1:11" x14ac:dyDescent="0.25">
      <c r="A243" s="1">
        <v>47845</v>
      </c>
      <c r="B243">
        <f t="shared" si="36"/>
        <v>28</v>
      </c>
      <c r="C243">
        <f t="shared" si="43"/>
        <v>12</v>
      </c>
      <c r="D243">
        <f t="shared" si="44"/>
        <v>2030</v>
      </c>
      <c r="E243">
        <f t="shared" si="45"/>
        <v>6</v>
      </c>
      <c r="F243">
        <f t="shared" si="39"/>
        <v>0</v>
      </c>
      <c r="G243">
        <f t="shared" si="42"/>
        <v>0.49</v>
      </c>
      <c r="H243">
        <f t="shared" si="37"/>
        <v>0.49</v>
      </c>
      <c r="I243">
        <f t="shared" si="38"/>
        <v>0.49</v>
      </c>
      <c r="J243">
        <f t="shared" si="40"/>
        <v>115.81999999999955</v>
      </c>
      <c r="K243">
        <f t="shared" si="41"/>
        <v>0</v>
      </c>
    </row>
    <row r="244" spans="1:11" x14ac:dyDescent="0.25">
      <c r="A244" s="1">
        <v>47846</v>
      </c>
      <c r="B244">
        <f t="shared" si="36"/>
        <v>29</v>
      </c>
      <c r="C244">
        <f t="shared" si="43"/>
        <v>12</v>
      </c>
      <c r="D244">
        <f t="shared" si="44"/>
        <v>2030</v>
      </c>
      <c r="E244">
        <f t="shared" si="45"/>
        <v>7</v>
      </c>
      <c r="F244">
        <f t="shared" si="39"/>
        <v>0</v>
      </c>
      <c r="G244">
        <f t="shared" si="42"/>
        <v>0.49</v>
      </c>
      <c r="H244">
        <f t="shared" si="37"/>
        <v>0.49</v>
      </c>
      <c r="I244">
        <f t="shared" si="38"/>
        <v>0</v>
      </c>
      <c r="J244">
        <f t="shared" si="40"/>
        <v>115.81999999999955</v>
      </c>
      <c r="K244">
        <f t="shared" si="41"/>
        <v>0</v>
      </c>
    </row>
    <row r="245" spans="1:11" x14ac:dyDescent="0.25">
      <c r="A245" s="1">
        <v>47847</v>
      </c>
      <c r="B245">
        <f t="shared" si="36"/>
        <v>30</v>
      </c>
      <c r="C245">
        <f t="shared" si="43"/>
        <v>12</v>
      </c>
      <c r="D245">
        <f t="shared" si="44"/>
        <v>2030</v>
      </c>
      <c r="E245">
        <f t="shared" si="45"/>
        <v>1</v>
      </c>
      <c r="F245">
        <f t="shared" si="39"/>
        <v>0</v>
      </c>
      <c r="G245">
        <f t="shared" si="42"/>
        <v>0.49</v>
      </c>
      <c r="H245">
        <f t="shared" si="37"/>
        <v>0.49</v>
      </c>
      <c r="I245">
        <f t="shared" si="38"/>
        <v>0.49</v>
      </c>
      <c r="J245">
        <f t="shared" si="40"/>
        <v>116.30999999999955</v>
      </c>
      <c r="K245">
        <f t="shared" si="41"/>
        <v>0</v>
      </c>
    </row>
    <row r="246" spans="1:11" x14ac:dyDescent="0.25">
      <c r="A246" s="1">
        <v>47848</v>
      </c>
      <c r="B246">
        <f t="shared" si="36"/>
        <v>31</v>
      </c>
      <c r="C246">
        <f t="shared" si="43"/>
        <v>12</v>
      </c>
      <c r="D246">
        <f t="shared" si="44"/>
        <v>2030</v>
      </c>
      <c r="E246">
        <f t="shared" si="45"/>
        <v>2</v>
      </c>
      <c r="F246">
        <f t="shared" si="39"/>
        <v>0</v>
      </c>
      <c r="G246">
        <f t="shared" si="42"/>
        <v>0.49</v>
      </c>
      <c r="H246">
        <f t="shared" si="37"/>
        <v>0.49</v>
      </c>
      <c r="I246">
        <f t="shared" si="38"/>
        <v>0.49</v>
      </c>
      <c r="J246">
        <f t="shared" si="40"/>
        <v>116.79999999999954</v>
      </c>
      <c r="K246">
        <f t="shared" si="41"/>
        <v>0</v>
      </c>
    </row>
    <row r="247" spans="1:11" x14ac:dyDescent="0.25">
      <c r="A247" s="1">
        <v>47849</v>
      </c>
      <c r="B247">
        <f t="shared" si="36"/>
        <v>1</v>
      </c>
      <c r="C247">
        <f t="shared" si="43"/>
        <v>1</v>
      </c>
      <c r="D247">
        <f t="shared" si="44"/>
        <v>2031</v>
      </c>
      <c r="E247">
        <f t="shared" si="45"/>
        <v>3</v>
      </c>
      <c r="F247">
        <f t="shared" si="39"/>
        <v>1</v>
      </c>
      <c r="G247">
        <f t="shared" si="42"/>
        <v>0.49</v>
      </c>
      <c r="H247">
        <f t="shared" si="37"/>
        <v>0.5635</v>
      </c>
      <c r="I247">
        <f t="shared" si="38"/>
        <v>0</v>
      </c>
      <c r="J247">
        <f t="shared" si="40"/>
        <v>116.79999999999954</v>
      </c>
      <c r="K247">
        <f t="shared" si="41"/>
        <v>0</v>
      </c>
    </row>
    <row r="248" spans="1:11" x14ac:dyDescent="0.25">
      <c r="A248" s="1">
        <v>47850</v>
      </c>
      <c r="B248">
        <f t="shared" si="36"/>
        <v>2</v>
      </c>
      <c r="C248">
        <f t="shared" si="43"/>
        <v>1</v>
      </c>
      <c r="D248">
        <f t="shared" si="44"/>
        <v>2031</v>
      </c>
      <c r="E248">
        <f t="shared" si="45"/>
        <v>4</v>
      </c>
      <c r="F248">
        <f t="shared" si="39"/>
        <v>0</v>
      </c>
      <c r="G248">
        <f t="shared" si="42"/>
        <v>0.49</v>
      </c>
      <c r="H248">
        <f t="shared" si="37"/>
        <v>0.49</v>
      </c>
      <c r="I248">
        <f t="shared" si="38"/>
        <v>0.49</v>
      </c>
      <c r="J248">
        <f t="shared" si="40"/>
        <v>117.28999999999954</v>
      </c>
      <c r="K248">
        <f t="shared" si="41"/>
        <v>0</v>
      </c>
    </row>
    <row r="249" spans="1:11" x14ac:dyDescent="0.25">
      <c r="A249" s="1">
        <v>47851</v>
      </c>
      <c r="B249">
        <f t="shared" si="36"/>
        <v>3</v>
      </c>
      <c r="C249">
        <f t="shared" si="43"/>
        <v>1</v>
      </c>
      <c r="D249">
        <f t="shared" si="44"/>
        <v>2031</v>
      </c>
      <c r="E249">
        <f t="shared" si="45"/>
        <v>5</v>
      </c>
      <c r="F249">
        <f t="shared" si="39"/>
        <v>0</v>
      </c>
      <c r="G249">
        <f t="shared" si="42"/>
        <v>0.49</v>
      </c>
      <c r="H249">
        <f t="shared" si="37"/>
        <v>0.49</v>
      </c>
      <c r="I249">
        <f t="shared" si="38"/>
        <v>0.49</v>
      </c>
      <c r="J249">
        <f t="shared" si="40"/>
        <v>117.77999999999953</v>
      </c>
      <c r="K249">
        <f t="shared" si="41"/>
        <v>0</v>
      </c>
    </row>
    <row r="250" spans="1:11" x14ac:dyDescent="0.25">
      <c r="A250" s="1">
        <v>47852</v>
      </c>
      <c r="B250">
        <f t="shared" si="36"/>
        <v>4</v>
      </c>
      <c r="C250">
        <f t="shared" si="43"/>
        <v>1</v>
      </c>
      <c r="D250">
        <f t="shared" si="44"/>
        <v>2031</v>
      </c>
      <c r="E250">
        <f t="shared" si="45"/>
        <v>6</v>
      </c>
      <c r="F250">
        <f t="shared" si="39"/>
        <v>0</v>
      </c>
      <c r="G250">
        <f t="shared" si="42"/>
        <v>0.49</v>
      </c>
      <c r="H250">
        <f t="shared" si="37"/>
        <v>0.49</v>
      </c>
      <c r="I250">
        <f t="shared" si="38"/>
        <v>0.49</v>
      </c>
      <c r="J250">
        <f t="shared" si="40"/>
        <v>118.26999999999953</v>
      </c>
      <c r="K250">
        <f t="shared" si="41"/>
        <v>0</v>
      </c>
    </row>
    <row r="251" spans="1:11" x14ac:dyDescent="0.25">
      <c r="A251" s="1">
        <v>47853</v>
      </c>
      <c r="B251">
        <f t="shared" si="36"/>
        <v>5</v>
      </c>
      <c r="C251">
        <f t="shared" si="43"/>
        <v>1</v>
      </c>
      <c r="D251">
        <f t="shared" si="44"/>
        <v>2031</v>
      </c>
      <c r="E251">
        <f t="shared" si="45"/>
        <v>7</v>
      </c>
      <c r="F251">
        <f t="shared" si="39"/>
        <v>0</v>
      </c>
      <c r="G251">
        <f t="shared" si="42"/>
        <v>0.49</v>
      </c>
      <c r="H251">
        <f t="shared" si="37"/>
        <v>0.49</v>
      </c>
      <c r="I251">
        <f t="shared" si="38"/>
        <v>0</v>
      </c>
      <c r="J251">
        <f t="shared" si="40"/>
        <v>118.26999999999953</v>
      </c>
      <c r="K251">
        <f t="shared" si="41"/>
        <v>0</v>
      </c>
    </row>
    <row r="252" spans="1:11" x14ac:dyDescent="0.25">
      <c r="A252" s="1">
        <v>47854</v>
      </c>
      <c r="B252">
        <f t="shared" si="36"/>
        <v>6</v>
      </c>
      <c r="C252">
        <f t="shared" si="43"/>
        <v>1</v>
      </c>
      <c r="D252">
        <f t="shared" si="44"/>
        <v>2031</v>
      </c>
      <c r="E252">
        <f t="shared" si="45"/>
        <v>1</v>
      </c>
      <c r="F252">
        <f t="shared" si="39"/>
        <v>0</v>
      </c>
      <c r="G252">
        <f t="shared" si="42"/>
        <v>0.49</v>
      </c>
      <c r="H252">
        <f t="shared" si="37"/>
        <v>0.49</v>
      </c>
      <c r="I252">
        <f t="shared" si="38"/>
        <v>0.49</v>
      </c>
      <c r="J252">
        <f t="shared" si="40"/>
        <v>118.75999999999952</v>
      </c>
      <c r="K252">
        <f t="shared" si="41"/>
        <v>0</v>
      </c>
    </row>
    <row r="253" spans="1:11" x14ac:dyDescent="0.25">
      <c r="A253" s="1">
        <v>47855</v>
      </c>
      <c r="B253">
        <f t="shared" si="36"/>
        <v>7</v>
      </c>
      <c r="C253">
        <f t="shared" si="43"/>
        <v>1</v>
      </c>
      <c r="D253">
        <f t="shared" si="44"/>
        <v>2031</v>
      </c>
      <c r="E253">
        <f t="shared" si="45"/>
        <v>2</v>
      </c>
      <c r="F253">
        <f t="shared" si="39"/>
        <v>0</v>
      </c>
      <c r="G253">
        <f t="shared" si="42"/>
        <v>0.49</v>
      </c>
      <c r="H253">
        <f t="shared" si="37"/>
        <v>0.49</v>
      </c>
      <c r="I253">
        <f t="shared" si="38"/>
        <v>0.49</v>
      </c>
      <c r="J253">
        <f t="shared" si="40"/>
        <v>119.24999999999952</v>
      </c>
      <c r="K253">
        <f t="shared" si="41"/>
        <v>0</v>
      </c>
    </row>
    <row r="254" spans="1:11" x14ac:dyDescent="0.25">
      <c r="A254" s="1">
        <v>47856</v>
      </c>
      <c r="B254">
        <f t="shared" si="36"/>
        <v>8</v>
      </c>
      <c r="C254">
        <f t="shared" si="43"/>
        <v>1</v>
      </c>
      <c r="D254">
        <f t="shared" si="44"/>
        <v>2031</v>
      </c>
      <c r="E254">
        <f t="shared" si="45"/>
        <v>3</v>
      </c>
      <c r="F254">
        <f t="shared" si="39"/>
        <v>0</v>
      </c>
      <c r="G254">
        <f t="shared" si="42"/>
        <v>0.49</v>
      </c>
      <c r="H254">
        <f t="shared" si="37"/>
        <v>0.49</v>
      </c>
      <c r="I254">
        <f t="shared" si="38"/>
        <v>0.49</v>
      </c>
      <c r="J254">
        <f t="shared" si="40"/>
        <v>119.73999999999951</v>
      </c>
      <c r="K254">
        <f t="shared" si="41"/>
        <v>0</v>
      </c>
    </row>
    <row r="255" spans="1:11" x14ac:dyDescent="0.25">
      <c r="A255" s="1">
        <v>47857</v>
      </c>
      <c r="B255">
        <f t="shared" si="36"/>
        <v>9</v>
      </c>
      <c r="C255">
        <f t="shared" si="43"/>
        <v>1</v>
      </c>
      <c r="D255">
        <f t="shared" si="44"/>
        <v>2031</v>
      </c>
      <c r="E255">
        <f t="shared" si="45"/>
        <v>4</v>
      </c>
      <c r="F255">
        <f t="shared" si="39"/>
        <v>0</v>
      </c>
      <c r="G255">
        <f t="shared" si="42"/>
        <v>0.49</v>
      </c>
      <c r="H255">
        <f t="shared" si="37"/>
        <v>0.49</v>
      </c>
      <c r="I255">
        <f t="shared" si="38"/>
        <v>0.49</v>
      </c>
      <c r="J255">
        <f t="shared" si="40"/>
        <v>120.22999999999951</v>
      </c>
      <c r="K255">
        <f t="shared" si="41"/>
        <v>0</v>
      </c>
    </row>
    <row r="256" spans="1:11" x14ac:dyDescent="0.25">
      <c r="A256" s="1">
        <v>47858</v>
      </c>
      <c r="B256">
        <f t="shared" si="36"/>
        <v>10</v>
      </c>
      <c r="C256">
        <f t="shared" si="43"/>
        <v>1</v>
      </c>
      <c r="D256">
        <f t="shared" si="44"/>
        <v>2031</v>
      </c>
      <c r="E256">
        <f t="shared" si="45"/>
        <v>5</v>
      </c>
      <c r="F256">
        <f t="shared" si="39"/>
        <v>0</v>
      </c>
      <c r="G256">
        <f t="shared" si="42"/>
        <v>0.49</v>
      </c>
      <c r="H256">
        <f t="shared" si="37"/>
        <v>0.49</v>
      </c>
      <c r="I256">
        <f t="shared" si="38"/>
        <v>0.49</v>
      </c>
      <c r="J256">
        <f t="shared" si="40"/>
        <v>120.7199999999995</v>
      </c>
      <c r="K256">
        <f t="shared" si="41"/>
        <v>0</v>
      </c>
    </row>
    <row r="257" spans="1:11" x14ac:dyDescent="0.25">
      <c r="A257" s="1">
        <v>47859</v>
      </c>
      <c r="B257">
        <f t="shared" si="36"/>
        <v>11</v>
      </c>
      <c r="C257">
        <f t="shared" si="43"/>
        <v>1</v>
      </c>
      <c r="D257">
        <f t="shared" si="44"/>
        <v>2031</v>
      </c>
      <c r="E257">
        <f t="shared" si="45"/>
        <v>6</v>
      </c>
      <c r="F257">
        <f t="shared" si="39"/>
        <v>0</v>
      </c>
      <c r="G257">
        <f t="shared" si="42"/>
        <v>0.49</v>
      </c>
      <c r="H257">
        <f t="shared" si="37"/>
        <v>0.49</v>
      </c>
      <c r="I257">
        <f t="shared" si="38"/>
        <v>0.49</v>
      </c>
      <c r="J257">
        <f t="shared" si="40"/>
        <v>121.2099999999995</v>
      </c>
      <c r="K257">
        <f t="shared" si="41"/>
        <v>0</v>
      </c>
    </row>
    <row r="258" spans="1:11" x14ac:dyDescent="0.25">
      <c r="A258" s="1">
        <v>47860</v>
      </c>
      <c r="B258">
        <f t="shared" si="36"/>
        <v>12</v>
      </c>
      <c r="C258">
        <f t="shared" si="43"/>
        <v>1</v>
      </c>
      <c r="D258">
        <f t="shared" si="44"/>
        <v>2031</v>
      </c>
      <c r="E258">
        <f t="shared" si="45"/>
        <v>7</v>
      </c>
      <c r="F258">
        <f t="shared" si="39"/>
        <v>0</v>
      </c>
      <c r="G258">
        <f t="shared" si="42"/>
        <v>0.49</v>
      </c>
      <c r="H258">
        <f t="shared" si="37"/>
        <v>0.49</v>
      </c>
      <c r="I258">
        <f t="shared" si="38"/>
        <v>0</v>
      </c>
      <c r="J258">
        <f t="shared" si="40"/>
        <v>121.2099999999995</v>
      </c>
      <c r="K258">
        <f t="shared" si="41"/>
        <v>0</v>
      </c>
    </row>
    <row r="259" spans="1:11" x14ac:dyDescent="0.25">
      <c r="A259" s="1">
        <v>47861</v>
      </c>
      <c r="B259">
        <f t="shared" ref="B259:B322" si="46">DAY(A259)</f>
        <v>13</v>
      </c>
      <c r="C259">
        <f t="shared" si="43"/>
        <v>1</v>
      </c>
      <c r="D259">
        <f t="shared" si="44"/>
        <v>2031</v>
      </c>
      <c r="E259">
        <f t="shared" si="45"/>
        <v>1</v>
      </c>
      <c r="F259">
        <f t="shared" si="39"/>
        <v>0</v>
      </c>
      <c r="G259">
        <f t="shared" si="42"/>
        <v>0.49</v>
      </c>
      <c r="H259">
        <f t="shared" ref="H259:H322" si="47">IF(F259=1,G259+G259*0.15,G259)</f>
        <v>0.49</v>
      </c>
      <c r="I259">
        <f t="shared" ref="I259:I322" si="48">IF(AND(F259=0,E259&lt;&gt;7),H259,0)</f>
        <v>0.49</v>
      </c>
      <c r="J259">
        <f t="shared" si="40"/>
        <v>121.69999999999949</v>
      </c>
      <c r="K259">
        <f t="shared" si="41"/>
        <v>0</v>
      </c>
    </row>
    <row r="260" spans="1:11" x14ac:dyDescent="0.25">
      <c r="A260" s="1">
        <v>47862</v>
      </c>
      <c r="B260">
        <f t="shared" si="46"/>
        <v>14</v>
      </c>
      <c r="C260">
        <f t="shared" si="43"/>
        <v>1</v>
      </c>
      <c r="D260">
        <f t="shared" si="44"/>
        <v>2031</v>
      </c>
      <c r="E260">
        <f t="shared" si="45"/>
        <v>2</v>
      </c>
      <c r="F260">
        <f t="shared" ref="F260:F323" si="49">IF(B260=1,1,0)</f>
        <v>0</v>
      </c>
      <c r="G260">
        <f t="shared" si="42"/>
        <v>0.49</v>
      </c>
      <c r="H260">
        <f t="shared" si="47"/>
        <v>0.49</v>
      </c>
      <c r="I260">
        <f t="shared" si="48"/>
        <v>0.49</v>
      </c>
      <c r="J260">
        <f t="shared" ref="J260:J323" si="50">J259+I260</f>
        <v>122.18999999999949</v>
      </c>
      <c r="K260">
        <f t="shared" ref="K260:K323" si="51">IF(AND(I260=0,I259=0),1,0)</f>
        <v>0</v>
      </c>
    </row>
    <row r="261" spans="1:11" x14ac:dyDescent="0.25">
      <c r="A261" s="1">
        <v>47863</v>
      </c>
      <c r="B261">
        <f t="shared" si="46"/>
        <v>15</v>
      </c>
      <c r="C261">
        <f t="shared" si="43"/>
        <v>1</v>
      </c>
      <c r="D261">
        <f t="shared" si="44"/>
        <v>2031</v>
      </c>
      <c r="E261">
        <f t="shared" si="45"/>
        <v>3</v>
      </c>
      <c r="F261">
        <f t="shared" si="49"/>
        <v>0</v>
      </c>
      <c r="G261">
        <f t="shared" si="42"/>
        <v>0.49</v>
      </c>
      <c r="H261">
        <f t="shared" si="47"/>
        <v>0.49</v>
      </c>
      <c r="I261">
        <f t="shared" si="48"/>
        <v>0.49</v>
      </c>
      <c r="J261">
        <f t="shared" si="50"/>
        <v>122.67999999999948</v>
      </c>
      <c r="K261">
        <f t="shared" si="51"/>
        <v>0</v>
      </c>
    </row>
    <row r="262" spans="1:11" x14ac:dyDescent="0.25">
      <c r="A262" s="1">
        <v>47864</v>
      </c>
      <c r="B262">
        <f t="shared" si="46"/>
        <v>16</v>
      </c>
      <c r="C262">
        <f t="shared" si="43"/>
        <v>1</v>
      </c>
      <c r="D262">
        <f t="shared" si="44"/>
        <v>2031</v>
      </c>
      <c r="E262">
        <f t="shared" si="45"/>
        <v>4</v>
      </c>
      <c r="F262">
        <f t="shared" si="49"/>
        <v>0</v>
      </c>
      <c r="G262">
        <f t="shared" si="42"/>
        <v>0.49</v>
      </c>
      <c r="H262">
        <f t="shared" si="47"/>
        <v>0.49</v>
      </c>
      <c r="I262">
        <f t="shared" si="48"/>
        <v>0.49</v>
      </c>
      <c r="J262">
        <f t="shared" si="50"/>
        <v>123.16999999999948</v>
      </c>
      <c r="K262">
        <f t="shared" si="51"/>
        <v>0</v>
      </c>
    </row>
    <row r="263" spans="1:11" x14ac:dyDescent="0.25">
      <c r="A263" s="1">
        <v>47865</v>
      </c>
      <c r="B263">
        <f t="shared" si="46"/>
        <v>17</v>
      </c>
      <c r="C263">
        <f t="shared" si="43"/>
        <v>1</v>
      </c>
      <c r="D263">
        <f t="shared" si="44"/>
        <v>2031</v>
      </c>
      <c r="E263">
        <f t="shared" si="45"/>
        <v>5</v>
      </c>
      <c r="F263">
        <f t="shared" si="49"/>
        <v>0</v>
      </c>
      <c r="G263">
        <f t="shared" si="42"/>
        <v>0.49</v>
      </c>
      <c r="H263">
        <f t="shared" si="47"/>
        <v>0.49</v>
      </c>
      <c r="I263">
        <f t="shared" si="48"/>
        <v>0.49</v>
      </c>
      <c r="J263">
        <f t="shared" si="50"/>
        <v>123.65999999999947</v>
      </c>
      <c r="K263">
        <f t="shared" si="51"/>
        <v>0</v>
      </c>
    </row>
    <row r="264" spans="1:11" x14ac:dyDescent="0.25">
      <c r="A264" s="1">
        <v>47866</v>
      </c>
      <c r="B264">
        <f t="shared" si="46"/>
        <v>18</v>
      </c>
      <c r="C264">
        <f t="shared" si="43"/>
        <v>1</v>
      </c>
      <c r="D264">
        <f t="shared" si="44"/>
        <v>2031</v>
      </c>
      <c r="E264">
        <f t="shared" si="45"/>
        <v>6</v>
      </c>
      <c r="F264">
        <f t="shared" si="49"/>
        <v>0</v>
      </c>
      <c r="G264">
        <f t="shared" si="42"/>
        <v>0.49</v>
      </c>
      <c r="H264">
        <f t="shared" si="47"/>
        <v>0.49</v>
      </c>
      <c r="I264">
        <f t="shared" si="48"/>
        <v>0.49</v>
      </c>
      <c r="J264">
        <f t="shared" si="50"/>
        <v>124.14999999999947</v>
      </c>
      <c r="K264">
        <f t="shared" si="51"/>
        <v>0</v>
      </c>
    </row>
    <row r="265" spans="1:11" x14ac:dyDescent="0.25">
      <c r="A265" s="1">
        <v>47867</v>
      </c>
      <c r="B265">
        <f t="shared" si="46"/>
        <v>19</v>
      </c>
      <c r="C265">
        <f t="shared" si="43"/>
        <v>1</v>
      </c>
      <c r="D265">
        <f t="shared" si="44"/>
        <v>2031</v>
      </c>
      <c r="E265">
        <f t="shared" si="45"/>
        <v>7</v>
      </c>
      <c r="F265">
        <f t="shared" si="49"/>
        <v>0</v>
      </c>
      <c r="G265">
        <f t="shared" si="42"/>
        <v>0.49</v>
      </c>
      <c r="H265">
        <f t="shared" si="47"/>
        <v>0.49</v>
      </c>
      <c r="I265">
        <f t="shared" si="48"/>
        <v>0</v>
      </c>
      <c r="J265">
        <f t="shared" si="50"/>
        <v>124.14999999999947</v>
      </c>
      <c r="K265">
        <f t="shared" si="51"/>
        <v>0</v>
      </c>
    </row>
    <row r="266" spans="1:11" x14ac:dyDescent="0.25">
      <c r="A266" s="1">
        <v>47868</v>
      </c>
      <c r="B266">
        <f t="shared" si="46"/>
        <v>20</v>
      </c>
      <c r="C266">
        <f t="shared" si="43"/>
        <v>1</v>
      </c>
      <c r="D266">
        <f t="shared" si="44"/>
        <v>2031</v>
      </c>
      <c r="E266">
        <f t="shared" si="45"/>
        <v>1</v>
      </c>
      <c r="F266">
        <f t="shared" si="49"/>
        <v>0</v>
      </c>
      <c r="G266">
        <f t="shared" si="42"/>
        <v>0.49</v>
      </c>
      <c r="H266">
        <f t="shared" si="47"/>
        <v>0.49</v>
      </c>
      <c r="I266">
        <f t="shared" si="48"/>
        <v>0.49</v>
      </c>
      <c r="J266">
        <f t="shared" si="50"/>
        <v>124.63999999999946</v>
      </c>
      <c r="K266">
        <f t="shared" si="51"/>
        <v>0</v>
      </c>
    </row>
    <row r="267" spans="1:11" x14ac:dyDescent="0.25">
      <c r="A267" s="1">
        <v>47869</v>
      </c>
      <c r="B267">
        <f t="shared" si="46"/>
        <v>21</v>
      </c>
      <c r="C267">
        <f t="shared" si="43"/>
        <v>1</v>
      </c>
      <c r="D267">
        <f t="shared" si="44"/>
        <v>2031</v>
      </c>
      <c r="E267">
        <f t="shared" si="45"/>
        <v>2</v>
      </c>
      <c r="F267">
        <f t="shared" si="49"/>
        <v>0</v>
      </c>
      <c r="G267">
        <f t="shared" si="42"/>
        <v>0.49</v>
      </c>
      <c r="H267">
        <f t="shared" si="47"/>
        <v>0.49</v>
      </c>
      <c r="I267">
        <f t="shared" si="48"/>
        <v>0.49</v>
      </c>
      <c r="J267">
        <f t="shared" si="50"/>
        <v>125.12999999999946</v>
      </c>
      <c r="K267">
        <f t="shared" si="51"/>
        <v>0</v>
      </c>
    </row>
    <row r="268" spans="1:11" x14ac:dyDescent="0.25">
      <c r="A268" s="1">
        <v>47870</v>
      </c>
      <c r="B268">
        <f t="shared" si="46"/>
        <v>22</v>
      </c>
      <c r="C268">
        <f t="shared" si="43"/>
        <v>1</v>
      </c>
      <c r="D268">
        <f t="shared" si="44"/>
        <v>2031</v>
      </c>
      <c r="E268">
        <f t="shared" si="45"/>
        <v>3</v>
      </c>
      <c r="F268">
        <f t="shared" si="49"/>
        <v>0</v>
      </c>
      <c r="G268">
        <f t="shared" si="42"/>
        <v>0.49</v>
      </c>
      <c r="H268">
        <f t="shared" si="47"/>
        <v>0.49</v>
      </c>
      <c r="I268">
        <f t="shared" si="48"/>
        <v>0.49</v>
      </c>
      <c r="J268">
        <f t="shared" si="50"/>
        <v>125.61999999999945</v>
      </c>
      <c r="K268">
        <f t="shared" si="51"/>
        <v>0</v>
      </c>
    </row>
    <row r="269" spans="1:11" x14ac:dyDescent="0.25">
      <c r="A269" s="1">
        <v>47871</v>
      </c>
      <c r="B269">
        <f t="shared" si="46"/>
        <v>23</v>
      </c>
      <c r="C269">
        <f t="shared" si="43"/>
        <v>1</v>
      </c>
      <c r="D269">
        <f t="shared" si="44"/>
        <v>2031</v>
      </c>
      <c r="E269">
        <f t="shared" si="45"/>
        <v>4</v>
      </c>
      <c r="F269">
        <f t="shared" si="49"/>
        <v>0</v>
      </c>
      <c r="G269">
        <f t="shared" si="42"/>
        <v>0.49</v>
      </c>
      <c r="H269">
        <f t="shared" si="47"/>
        <v>0.49</v>
      </c>
      <c r="I269">
        <f t="shared" si="48"/>
        <v>0.49</v>
      </c>
      <c r="J269">
        <f t="shared" si="50"/>
        <v>126.10999999999945</v>
      </c>
      <c r="K269">
        <f t="shared" si="51"/>
        <v>0</v>
      </c>
    </row>
    <row r="270" spans="1:11" x14ac:dyDescent="0.25">
      <c r="A270" s="1">
        <v>47872</v>
      </c>
      <c r="B270">
        <f t="shared" si="46"/>
        <v>24</v>
      </c>
      <c r="C270">
        <f t="shared" si="43"/>
        <v>1</v>
      </c>
      <c r="D270">
        <f t="shared" si="44"/>
        <v>2031</v>
      </c>
      <c r="E270">
        <f t="shared" si="45"/>
        <v>5</v>
      </c>
      <c r="F270">
        <f t="shared" si="49"/>
        <v>0</v>
      </c>
      <c r="G270">
        <f t="shared" si="42"/>
        <v>0.49</v>
      </c>
      <c r="H270">
        <f t="shared" si="47"/>
        <v>0.49</v>
      </c>
      <c r="I270">
        <f t="shared" si="48"/>
        <v>0.49</v>
      </c>
      <c r="J270">
        <f t="shared" si="50"/>
        <v>126.59999999999944</v>
      </c>
      <c r="K270">
        <f t="shared" si="51"/>
        <v>0</v>
      </c>
    </row>
    <row r="271" spans="1:11" x14ac:dyDescent="0.25">
      <c r="A271" s="1">
        <v>47873</v>
      </c>
      <c r="B271">
        <f t="shared" si="46"/>
        <v>25</v>
      </c>
      <c r="C271">
        <f t="shared" si="43"/>
        <v>1</v>
      </c>
      <c r="D271">
        <f t="shared" si="44"/>
        <v>2031</v>
      </c>
      <c r="E271">
        <f t="shared" si="45"/>
        <v>6</v>
      </c>
      <c r="F271">
        <f t="shared" si="49"/>
        <v>0</v>
      </c>
      <c r="G271">
        <f t="shared" si="42"/>
        <v>0.49</v>
      </c>
      <c r="H271">
        <f t="shared" si="47"/>
        <v>0.49</v>
      </c>
      <c r="I271">
        <f t="shared" si="48"/>
        <v>0.49</v>
      </c>
      <c r="J271">
        <f t="shared" si="50"/>
        <v>127.08999999999943</v>
      </c>
      <c r="K271">
        <f t="shared" si="51"/>
        <v>0</v>
      </c>
    </row>
    <row r="272" spans="1:11" x14ac:dyDescent="0.25">
      <c r="A272" s="1">
        <v>47874</v>
      </c>
      <c r="B272">
        <f t="shared" si="46"/>
        <v>26</v>
      </c>
      <c r="C272">
        <f t="shared" si="43"/>
        <v>1</v>
      </c>
      <c r="D272">
        <f t="shared" si="44"/>
        <v>2031</v>
      </c>
      <c r="E272">
        <f t="shared" si="45"/>
        <v>7</v>
      </c>
      <c r="F272">
        <f t="shared" si="49"/>
        <v>0</v>
      </c>
      <c r="G272">
        <f t="shared" si="42"/>
        <v>0.49</v>
      </c>
      <c r="H272">
        <f t="shared" si="47"/>
        <v>0.49</v>
      </c>
      <c r="I272">
        <f t="shared" si="48"/>
        <v>0</v>
      </c>
      <c r="J272">
        <f t="shared" si="50"/>
        <v>127.08999999999943</v>
      </c>
      <c r="K272">
        <f t="shared" si="51"/>
        <v>0</v>
      </c>
    </row>
    <row r="273" spans="1:11" x14ac:dyDescent="0.25">
      <c r="A273" s="1">
        <v>47875</v>
      </c>
      <c r="B273">
        <f t="shared" si="46"/>
        <v>27</v>
      </c>
      <c r="C273">
        <f t="shared" si="43"/>
        <v>1</v>
      </c>
      <c r="D273">
        <f t="shared" si="44"/>
        <v>2031</v>
      </c>
      <c r="E273">
        <f t="shared" si="45"/>
        <v>1</v>
      </c>
      <c r="F273">
        <f t="shared" si="49"/>
        <v>0</v>
      </c>
      <c r="G273">
        <f t="shared" ref="G273:G336" si="52">IF(G272&lt;&gt;0,ROUNDUP(G272*0.98,2),ROUNDUP(G271*0.98,2))</f>
        <v>0.49</v>
      </c>
      <c r="H273">
        <f t="shared" si="47"/>
        <v>0.49</v>
      </c>
      <c r="I273">
        <f t="shared" si="48"/>
        <v>0.49</v>
      </c>
      <c r="J273">
        <f t="shared" si="50"/>
        <v>127.57999999999943</v>
      </c>
      <c r="K273">
        <f t="shared" si="51"/>
        <v>0</v>
      </c>
    </row>
    <row r="274" spans="1:11" x14ac:dyDescent="0.25">
      <c r="A274" s="1">
        <v>47876</v>
      </c>
      <c r="B274">
        <f t="shared" si="46"/>
        <v>28</v>
      </c>
      <c r="C274">
        <f t="shared" si="43"/>
        <v>1</v>
      </c>
      <c r="D274">
        <f t="shared" si="44"/>
        <v>2031</v>
      </c>
      <c r="E274">
        <f t="shared" si="45"/>
        <v>2</v>
      </c>
      <c r="F274">
        <f t="shared" si="49"/>
        <v>0</v>
      </c>
      <c r="G274">
        <f t="shared" si="52"/>
        <v>0.49</v>
      </c>
      <c r="H274">
        <f t="shared" si="47"/>
        <v>0.49</v>
      </c>
      <c r="I274">
        <f t="shared" si="48"/>
        <v>0.49</v>
      </c>
      <c r="J274">
        <f t="shared" si="50"/>
        <v>128.06999999999942</v>
      </c>
      <c r="K274">
        <f t="shared" si="51"/>
        <v>0</v>
      </c>
    </row>
    <row r="275" spans="1:11" x14ac:dyDescent="0.25">
      <c r="A275" s="1">
        <v>47877</v>
      </c>
      <c r="B275">
        <f t="shared" si="46"/>
        <v>29</v>
      </c>
      <c r="C275">
        <f t="shared" si="43"/>
        <v>1</v>
      </c>
      <c r="D275">
        <f t="shared" si="44"/>
        <v>2031</v>
      </c>
      <c r="E275">
        <f t="shared" si="45"/>
        <v>3</v>
      </c>
      <c r="F275">
        <f t="shared" si="49"/>
        <v>0</v>
      </c>
      <c r="G275">
        <f t="shared" si="52"/>
        <v>0.49</v>
      </c>
      <c r="H275">
        <f t="shared" si="47"/>
        <v>0.49</v>
      </c>
      <c r="I275">
        <f t="shared" si="48"/>
        <v>0.49</v>
      </c>
      <c r="J275">
        <f t="shared" si="50"/>
        <v>128.55999999999943</v>
      </c>
      <c r="K275">
        <f t="shared" si="51"/>
        <v>0</v>
      </c>
    </row>
    <row r="276" spans="1:11" x14ac:dyDescent="0.25">
      <c r="A276" s="1">
        <v>47878</v>
      </c>
      <c r="B276">
        <f t="shared" si="46"/>
        <v>30</v>
      </c>
      <c r="C276">
        <f t="shared" si="43"/>
        <v>1</v>
      </c>
      <c r="D276">
        <f t="shared" si="44"/>
        <v>2031</v>
      </c>
      <c r="E276">
        <f t="shared" si="45"/>
        <v>4</v>
      </c>
      <c r="F276">
        <f t="shared" si="49"/>
        <v>0</v>
      </c>
      <c r="G276">
        <f t="shared" si="52"/>
        <v>0.49</v>
      </c>
      <c r="H276">
        <f t="shared" si="47"/>
        <v>0.49</v>
      </c>
      <c r="I276">
        <f t="shared" si="48"/>
        <v>0.49</v>
      </c>
      <c r="J276">
        <f t="shared" si="50"/>
        <v>129.04999999999944</v>
      </c>
      <c r="K276">
        <f t="shared" si="51"/>
        <v>0</v>
      </c>
    </row>
    <row r="277" spans="1:11" x14ac:dyDescent="0.25">
      <c r="A277" s="1">
        <v>47879</v>
      </c>
      <c r="B277">
        <f t="shared" si="46"/>
        <v>31</v>
      </c>
      <c r="C277">
        <f t="shared" si="43"/>
        <v>1</v>
      </c>
      <c r="D277">
        <f t="shared" si="44"/>
        <v>2031</v>
      </c>
      <c r="E277">
        <f t="shared" si="45"/>
        <v>5</v>
      </c>
      <c r="F277">
        <f t="shared" si="49"/>
        <v>0</v>
      </c>
      <c r="G277">
        <f t="shared" si="52"/>
        <v>0.49</v>
      </c>
      <c r="H277">
        <f t="shared" si="47"/>
        <v>0.49</v>
      </c>
      <c r="I277">
        <f t="shared" si="48"/>
        <v>0.49</v>
      </c>
      <c r="J277">
        <f t="shared" si="50"/>
        <v>129.53999999999945</v>
      </c>
      <c r="K277">
        <f t="shared" si="51"/>
        <v>0</v>
      </c>
    </row>
    <row r="278" spans="1:11" x14ac:dyDescent="0.25">
      <c r="A278" s="1">
        <v>47880</v>
      </c>
      <c r="B278">
        <f t="shared" si="46"/>
        <v>1</v>
      </c>
      <c r="C278">
        <f t="shared" si="43"/>
        <v>2</v>
      </c>
      <c r="D278">
        <f t="shared" si="44"/>
        <v>2031</v>
      </c>
      <c r="E278">
        <f t="shared" si="45"/>
        <v>6</v>
      </c>
      <c r="F278">
        <f t="shared" si="49"/>
        <v>1</v>
      </c>
      <c r="G278">
        <f t="shared" si="52"/>
        <v>0.49</v>
      </c>
      <c r="H278">
        <f t="shared" si="47"/>
        <v>0.5635</v>
      </c>
      <c r="I278">
        <f t="shared" si="48"/>
        <v>0</v>
      </c>
      <c r="J278">
        <f t="shared" si="50"/>
        <v>129.53999999999945</v>
      </c>
      <c r="K278">
        <f t="shared" si="51"/>
        <v>0</v>
      </c>
    </row>
    <row r="279" spans="1:11" x14ac:dyDescent="0.25">
      <c r="A279" s="1">
        <v>47881</v>
      </c>
      <c r="B279">
        <f t="shared" si="46"/>
        <v>2</v>
      </c>
      <c r="C279">
        <f t="shared" si="43"/>
        <v>2</v>
      </c>
      <c r="D279">
        <f t="shared" si="44"/>
        <v>2031</v>
      </c>
      <c r="E279">
        <f t="shared" si="45"/>
        <v>7</v>
      </c>
      <c r="F279">
        <f t="shared" si="49"/>
        <v>0</v>
      </c>
      <c r="G279">
        <f t="shared" si="52"/>
        <v>0.49</v>
      </c>
      <c r="H279">
        <f t="shared" si="47"/>
        <v>0.49</v>
      </c>
      <c r="I279">
        <f t="shared" si="48"/>
        <v>0</v>
      </c>
      <c r="J279">
        <f t="shared" si="50"/>
        <v>129.53999999999945</v>
      </c>
      <c r="K279">
        <f t="shared" si="51"/>
        <v>1</v>
      </c>
    </row>
    <row r="280" spans="1:11" x14ac:dyDescent="0.25">
      <c r="A280" s="1">
        <v>47882</v>
      </c>
      <c r="B280">
        <f t="shared" si="46"/>
        <v>3</v>
      </c>
      <c r="C280">
        <f t="shared" si="43"/>
        <v>2</v>
      </c>
      <c r="D280">
        <f t="shared" si="44"/>
        <v>2031</v>
      </c>
      <c r="E280">
        <f t="shared" si="45"/>
        <v>1</v>
      </c>
      <c r="F280">
        <f t="shared" si="49"/>
        <v>0</v>
      </c>
      <c r="G280">
        <f t="shared" si="52"/>
        <v>0.49</v>
      </c>
      <c r="H280">
        <f t="shared" si="47"/>
        <v>0.49</v>
      </c>
      <c r="I280">
        <f t="shared" si="48"/>
        <v>0.49</v>
      </c>
      <c r="J280">
        <f t="shared" si="50"/>
        <v>130.02999999999946</v>
      </c>
      <c r="K280">
        <f t="shared" si="51"/>
        <v>0</v>
      </c>
    </row>
    <row r="281" spans="1:11" x14ac:dyDescent="0.25">
      <c r="A281" s="1">
        <v>47883</v>
      </c>
      <c r="B281">
        <f t="shared" si="46"/>
        <v>4</v>
      </c>
      <c r="C281">
        <f t="shared" si="43"/>
        <v>2</v>
      </c>
      <c r="D281">
        <f t="shared" si="44"/>
        <v>2031</v>
      </c>
      <c r="E281">
        <f t="shared" si="45"/>
        <v>2</v>
      </c>
      <c r="F281">
        <f t="shared" si="49"/>
        <v>0</v>
      </c>
      <c r="G281">
        <f t="shared" si="52"/>
        <v>0.49</v>
      </c>
      <c r="H281">
        <f t="shared" si="47"/>
        <v>0.49</v>
      </c>
      <c r="I281">
        <f t="shared" si="48"/>
        <v>0.49</v>
      </c>
      <c r="J281">
        <f t="shared" si="50"/>
        <v>130.51999999999947</v>
      </c>
      <c r="K281">
        <f t="shared" si="51"/>
        <v>0</v>
      </c>
    </row>
    <row r="282" spans="1:11" x14ac:dyDescent="0.25">
      <c r="A282" s="1">
        <v>47884</v>
      </c>
      <c r="B282">
        <f t="shared" si="46"/>
        <v>5</v>
      </c>
      <c r="C282">
        <f t="shared" si="43"/>
        <v>2</v>
      </c>
      <c r="D282">
        <f t="shared" si="44"/>
        <v>2031</v>
      </c>
      <c r="E282">
        <f t="shared" si="45"/>
        <v>3</v>
      </c>
      <c r="F282">
        <f t="shared" si="49"/>
        <v>0</v>
      </c>
      <c r="G282">
        <f t="shared" si="52"/>
        <v>0.49</v>
      </c>
      <c r="H282">
        <f t="shared" si="47"/>
        <v>0.49</v>
      </c>
      <c r="I282">
        <f t="shared" si="48"/>
        <v>0.49</v>
      </c>
      <c r="J282">
        <f t="shared" si="50"/>
        <v>131.00999999999948</v>
      </c>
      <c r="K282">
        <f t="shared" si="51"/>
        <v>0</v>
      </c>
    </row>
    <row r="283" spans="1:11" x14ac:dyDescent="0.25">
      <c r="A283" s="1">
        <v>47885</v>
      </c>
      <c r="B283">
        <f t="shared" si="46"/>
        <v>6</v>
      </c>
      <c r="C283">
        <f t="shared" si="43"/>
        <v>2</v>
      </c>
      <c r="D283">
        <f t="shared" si="44"/>
        <v>2031</v>
      </c>
      <c r="E283">
        <f t="shared" si="45"/>
        <v>4</v>
      </c>
      <c r="F283">
        <f t="shared" si="49"/>
        <v>0</v>
      </c>
      <c r="G283">
        <f t="shared" si="52"/>
        <v>0.49</v>
      </c>
      <c r="H283">
        <f t="shared" si="47"/>
        <v>0.49</v>
      </c>
      <c r="I283">
        <f t="shared" si="48"/>
        <v>0.49</v>
      </c>
      <c r="J283">
        <f t="shared" si="50"/>
        <v>131.49999999999949</v>
      </c>
      <c r="K283">
        <f t="shared" si="51"/>
        <v>0</v>
      </c>
    </row>
    <row r="284" spans="1:11" x14ac:dyDescent="0.25">
      <c r="A284" s="1">
        <v>47886</v>
      </c>
      <c r="B284">
        <f t="shared" si="46"/>
        <v>7</v>
      </c>
      <c r="C284">
        <f t="shared" si="43"/>
        <v>2</v>
      </c>
      <c r="D284">
        <f t="shared" si="44"/>
        <v>2031</v>
      </c>
      <c r="E284">
        <f t="shared" si="45"/>
        <v>5</v>
      </c>
      <c r="F284">
        <f t="shared" si="49"/>
        <v>0</v>
      </c>
      <c r="G284">
        <f t="shared" si="52"/>
        <v>0.49</v>
      </c>
      <c r="H284">
        <f t="shared" si="47"/>
        <v>0.49</v>
      </c>
      <c r="I284">
        <f t="shared" si="48"/>
        <v>0.49</v>
      </c>
      <c r="J284">
        <f t="shared" si="50"/>
        <v>131.9899999999995</v>
      </c>
      <c r="K284">
        <f t="shared" si="51"/>
        <v>0</v>
      </c>
    </row>
    <row r="285" spans="1:11" x14ac:dyDescent="0.25">
      <c r="A285" s="1">
        <v>47887</v>
      </c>
      <c r="B285">
        <f t="shared" si="46"/>
        <v>8</v>
      </c>
      <c r="C285">
        <f t="shared" si="43"/>
        <v>2</v>
      </c>
      <c r="D285">
        <f t="shared" si="44"/>
        <v>2031</v>
      </c>
      <c r="E285">
        <f t="shared" si="45"/>
        <v>6</v>
      </c>
      <c r="F285">
        <f t="shared" si="49"/>
        <v>0</v>
      </c>
      <c r="G285">
        <f t="shared" si="52"/>
        <v>0.49</v>
      </c>
      <c r="H285">
        <f t="shared" si="47"/>
        <v>0.49</v>
      </c>
      <c r="I285">
        <f t="shared" si="48"/>
        <v>0.49</v>
      </c>
      <c r="J285">
        <f t="shared" si="50"/>
        <v>132.47999999999951</v>
      </c>
      <c r="K285">
        <f t="shared" si="51"/>
        <v>0</v>
      </c>
    </row>
    <row r="286" spans="1:11" x14ac:dyDescent="0.25">
      <c r="A286" s="1">
        <v>47888</v>
      </c>
      <c r="B286">
        <f t="shared" si="46"/>
        <v>9</v>
      </c>
      <c r="C286">
        <f t="shared" si="43"/>
        <v>2</v>
      </c>
      <c r="D286">
        <f t="shared" si="44"/>
        <v>2031</v>
      </c>
      <c r="E286">
        <f t="shared" si="45"/>
        <v>7</v>
      </c>
      <c r="F286">
        <f t="shared" si="49"/>
        <v>0</v>
      </c>
      <c r="G286">
        <f t="shared" si="52"/>
        <v>0.49</v>
      </c>
      <c r="H286">
        <f t="shared" si="47"/>
        <v>0.49</v>
      </c>
      <c r="I286">
        <f t="shared" si="48"/>
        <v>0</v>
      </c>
      <c r="J286">
        <f t="shared" si="50"/>
        <v>132.47999999999951</v>
      </c>
      <c r="K286">
        <f t="shared" si="51"/>
        <v>0</v>
      </c>
    </row>
    <row r="287" spans="1:11" x14ac:dyDescent="0.25">
      <c r="A287" s="1">
        <v>47889</v>
      </c>
      <c r="B287">
        <f t="shared" si="46"/>
        <v>10</v>
      </c>
      <c r="C287">
        <f t="shared" si="43"/>
        <v>2</v>
      </c>
      <c r="D287">
        <f t="shared" si="44"/>
        <v>2031</v>
      </c>
      <c r="E287">
        <f t="shared" si="45"/>
        <v>1</v>
      </c>
      <c r="F287">
        <f t="shared" si="49"/>
        <v>0</v>
      </c>
      <c r="G287">
        <f t="shared" si="52"/>
        <v>0.49</v>
      </c>
      <c r="H287">
        <f t="shared" si="47"/>
        <v>0.49</v>
      </c>
      <c r="I287">
        <f t="shared" si="48"/>
        <v>0.49</v>
      </c>
      <c r="J287">
        <f t="shared" si="50"/>
        <v>132.96999999999952</v>
      </c>
      <c r="K287">
        <f t="shared" si="51"/>
        <v>0</v>
      </c>
    </row>
    <row r="288" spans="1:11" x14ac:dyDescent="0.25">
      <c r="A288" s="1">
        <v>47890</v>
      </c>
      <c r="B288">
        <f t="shared" si="46"/>
        <v>11</v>
      </c>
      <c r="C288">
        <f t="shared" si="43"/>
        <v>2</v>
      </c>
      <c r="D288">
        <f t="shared" si="44"/>
        <v>2031</v>
      </c>
      <c r="E288">
        <f t="shared" si="45"/>
        <v>2</v>
      </c>
      <c r="F288">
        <f t="shared" si="49"/>
        <v>0</v>
      </c>
      <c r="G288">
        <f t="shared" si="52"/>
        <v>0.49</v>
      </c>
      <c r="H288">
        <f t="shared" si="47"/>
        <v>0.49</v>
      </c>
      <c r="I288">
        <f t="shared" si="48"/>
        <v>0.49</v>
      </c>
      <c r="J288">
        <f t="shared" si="50"/>
        <v>133.45999999999952</v>
      </c>
      <c r="K288">
        <f t="shared" si="51"/>
        <v>0</v>
      </c>
    </row>
    <row r="289" spans="1:11" x14ac:dyDescent="0.25">
      <c r="A289" s="1">
        <v>47891</v>
      </c>
      <c r="B289">
        <f t="shared" si="46"/>
        <v>12</v>
      </c>
      <c r="C289">
        <f t="shared" si="43"/>
        <v>2</v>
      </c>
      <c r="D289">
        <f t="shared" si="44"/>
        <v>2031</v>
      </c>
      <c r="E289">
        <f t="shared" si="45"/>
        <v>3</v>
      </c>
      <c r="F289">
        <f t="shared" si="49"/>
        <v>0</v>
      </c>
      <c r="G289">
        <f t="shared" si="52"/>
        <v>0.49</v>
      </c>
      <c r="H289">
        <f t="shared" si="47"/>
        <v>0.49</v>
      </c>
      <c r="I289">
        <f t="shared" si="48"/>
        <v>0.49</v>
      </c>
      <c r="J289">
        <f t="shared" si="50"/>
        <v>133.94999999999953</v>
      </c>
      <c r="K289">
        <f t="shared" si="51"/>
        <v>0</v>
      </c>
    </row>
    <row r="290" spans="1:11" x14ac:dyDescent="0.25">
      <c r="A290" s="1">
        <v>47892</v>
      </c>
      <c r="B290">
        <f t="shared" si="46"/>
        <v>13</v>
      </c>
      <c r="C290">
        <f t="shared" si="43"/>
        <v>2</v>
      </c>
      <c r="D290">
        <f t="shared" si="44"/>
        <v>2031</v>
      </c>
      <c r="E290">
        <f t="shared" si="45"/>
        <v>4</v>
      </c>
      <c r="F290">
        <f t="shared" si="49"/>
        <v>0</v>
      </c>
      <c r="G290">
        <f t="shared" si="52"/>
        <v>0.49</v>
      </c>
      <c r="H290">
        <f t="shared" si="47"/>
        <v>0.49</v>
      </c>
      <c r="I290">
        <f t="shared" si="48"/>
        <v>0.49</v>
      </c>
      <c r="J290">
        <f t="shared" si="50"/>
        <v>134.43999999999954</v>
      </c>
      <c r="K290">
        <f t="shared" si="51"/>
        <v>0</v>
      </c>
    </row>
    <row r="291" spans="1:11" x14ac:dyDescent="0.25">
      <c r="A291" s="1">
        <v>47893</v>
      </c>
      <c r="B291">
        <f t="shared" si="46"/>
        <v>14</v>
      </c>
      <c r="C291">
        <f t="shared" si="43"/>
        <v>2</v>
      </c>
      <c r="D291">
        <f t="shared" si="44"/>
        <v>2031</v>
      </c>
      <c r="E291">
        <f t="shared" si="45"/>
        <v>5</v>
      </c>
      <c r="F291">
        <f t="shared" si="49"/>
        <v>0</v>
      </c>
      <c r="G291">
        <f t="shared" si="52"/>
        <v>0.49</v>
      </c>
      <c r="H291">
        <f t="shared" si="47"/>
        <v>0.49</v>
      </c>
      <c r="I291">
        <f t="shared" si="48"/>
        <v>0.49</v>
      </c>
      <c r="J291">
        <f t="shared" si="50"/>
        <v>134.92999999999955</v>
      </c>
      <c r="K291">
        <f t="shared" si="51"/>
        <v>0</v>
      </c>
    </row>
    <row r="292" spans="1:11" x14ac:dyDescent="0.25">
      <c r="A292" s="1">
        <v>47894</v>
      </c>
      <c r="B292">
        <f t="shared" si="46"/>
        <v>15</v>
      </c>
      <c r="C292">
        <f t="shared" si="43"/>
        <v>2</v>
      </c>
      <c r="D292">
        <f t="shared" si="44"/>
        <v>2031</v>
      </c>
      <c r="E292">
        <f t="shared" si="45"/>
        <v>6</v>
      </c>
      <c r="F292">
        <f t="shared" si="49"/>
        <v>0</v>
      </c>
      <c r="G292">
        <f t="shared" si="52"/>
        <v>0.49</v>
      </c>
      <c r="H292">
        <f t="shared" si="47"/>
        <v>0.49</v>
      </c>
      <c r="I292">
        <f t="shared" si="48"/>
        <v>0.49</v>
      </c>
      <c r="J292">
        <f t="shared" si="50"/>
        <v>135.41999999999956</v>
      </c>
      <c r="K292">
        <f t="shared" si="51"/>
        <v>0</v>
      </c>
    </row>
    <row r="293" spans="1:11" x14ac:dyDescent="0.25">
      <c r="A293" s="1">
        <v>47895</v>
      </c>
      <c r="B293">
        <f t="shared" si="46"/>
        <v>16</v>
      </c>
      <c r="C293">
        <f t="shared" si="43"/>
        <v>2</v>
      </c>
      <c r="D293">
        <f t="shared" si="44"/>
        <v>2031</v>
      </c>
      <c r="E293">
        <f t="shared" si="45"/>
        <v>7</v>
      </c>
      <c r="F293">
        <f t="shared" si="49"/>
        <v>0</v>
      </c>
      <c r="G293">
        <f t="shared" si="52"/>
        <v>0.49</v>
      </c>
      <c r="H293">
        <f t="shared" si="47"/>
        <v>0.49</v>
      </c>
      <c r="I293">
        <f t="shared" si="48"/>
        <v>0</v>
      </c>
      <c r="J293">
        <f t="shared" si="50"/>
        <v>135.41999999999956</v>
      </c>
      <c r="K293">
        <f t="shared" si="51"/>
        <v>0</v>
      </c>
    </row>
    <row r="294" spans="1:11" x14ac:dyDescent="0.25">
      <c r="A294" s="1">
        <v>47896</v>
      </c>
      <c r="B294">
        <f t="shared" si="46"/>
        <v>17</v>
      </c>
      <c r="C294">
        <f t="shared" si="43"/>
        <v>2</v>
      </c>
      <c r="D294">
        <f t="shared" si="44"/>
        <v>2031</v>
      </c>
      <c r="E294">
        <f t="shared" si="45"/>
        <v>1</v>
      </c>
      <c r="F294">
        <f t="shared" si="49"/>
        <v>0</v>
      </c>
      <c r="G294">
        <f t="shared" si="52"/>
        <v>0.49</v>
      </c>
      <c r="H294">
        <f t="shared" si="47"/>
        <v>0.49</v>
      </c>
      <c r="I294">
        <f t="shared" si="48"/>
        <v>0.49</v>
      </c>
      <c r="J294">
        <f t="shared" si="50"/>
        <v>135.90999999999957</v>
      </c>
      <c r="K294">
        <f t="shared" si="51"/>
        <v>0</v>
      </c>
    </row>
    <row r="295" spans="1:11" x14ac:dyDescent="0.25">
      <c r="A295" s="1">
        <v>47897</v>
      </c>
      <c r="B295">
        <f t="shared" si="46"/>
        <v>18</v>
      </c>
      <c r="C295">
        <f t="shared" si="43"/>
        <v>2</v>
      </c>
      <c r="D295">
        <f t="shared" si="44"/>
        <v>2031</v>
      </c>
      <c r="E295">
        <f t="shared" si="45"/>
        <v>2</v>
      </c>
      <c r="F295">
        <f t="shared" si="49"/>
        <v>0</v>
      </c>
      <c r="G295">
        <f t="shared" si="52"/>
        <v>0.49</v>
      </c>
      <c r="H295">
        <f t="shared" si="47"/>
        <v>0.49</v>
      </c>
      <c r="I295">
        <f t="shared" si="48"/>
        <v>0.49</v>
      </c>
      <c r="J295">
        <f t="shared" si="50"/>
        <v>136.39999999999958</v>
      </c>
      <c r="K295">
        <f t="shared" si="51"/>
        <v>0</v>
      </c>
    </row>
    <row r="296" spans="1:11" x14ac:dyDescent="0.25">
      <c r="A296" s="1">
        <v>47898</v>
      </c>
      <c r="B296">
        <f t="shared" si="46"/>
        <v>19</v>
      </c>
      <c r="C296">
        <f t="shared" si="43"/>
        <v>2</v>
      </c>
      <c r="D296">
        <f t="shared" si="44"/>
        <v>2031</v>
      </c>
      <c r="E296">
        <f t="shared" si="45"/>
        <v>3</v>
      </c>
      <c r="F296">
        <f t="shared" si="49"/>
        <v>0</v>
      </c>
      <c r="G296">
        <f t="shared" si="52"/>
        <v>0.49</v>
      </c>
      <c r="H296">
        <f t="shared" si="47"/>
        <v>0.49</v>
      </c>
      <c r="I296">
        <f t="shared" si="48"/>
        <v>0.49</v>
      </c>
      <c r="J296">
        <f t="shared" si="50"/>
        <v>136.88999999999959</v>
      </c>
      <c r="K296">
        <f t="shared" si="51"/>
        <v>0</v>
      </c>
    </row>
    <row r="297" spans="1:11" x14ac:dyDescent="0.25">
      <c r="A297" s="1">
        <v>47899</v>
      </c>
      <c r="B297">
        <f t="shared" si="46"/>
        <v>20</v>
      </c>
      <c r="C297">
        <f t="shared" si="43"/>
        <v>2</v>
      </c>
      <c r="D297">
        <f t="shared" si="44"/>
        <v>2031</v>
      </c>
      <c r="E297">
        <f t="shared" si="45"/>
        <v>4</v>
      </c>
      <c r="F297">
        <f t="shared" si="49"/>
        <v>0</v>
      </c>
      <c r="G297">
        <f t="shared" si="52"/>
        <v>0.49</v>
      </c>
      <c r="H297">
        <f t="shared" si="47"/>
        <v>0.49</v>
      </c>
      <c r="I297">
        <f t="shared" si="48"/>
        <v>0.49</v>
      </c>
      <c r="J297">
        <f t="shared" si="50"/>
        <v>137.3799999999996</v>
      </c>
      <c r="K297">
        <f t="shared" si="51"/>
        <v>0</v>
      </c>
    </row>
    <row r="298" spans="1:11" x14ac:dyDescent="0.25">
      <c r="A298" s="1">
        <v>47900</v>
      </c>
      <c r="B298">
        <f t="shared" si="46"/>
        <v>21</v>
      </c>
      <c r="C298">
        <f t="shared" si="43"/>
        <v>2</v>
      </c>
      <c r="D298">
        <f t="shared" si="44"/>
        <v>2031</v>
      </c>
      <c r="E298">
        <f t="shared" si="45"/>
        <v>5</v>
      </c>
      <c r="F298">
        <f t="shared" si="49"/>
        <v>0</v>
      </c>
      <c r="G298">
        <f t="shared" si="52"/>
        <v>0.49</v>
      </c>
      <c r="H298">
        <f t="shared" si="47"/>
        <v>0.49</v>
      </c>
      <c r="I298">
        <f t="shared" si="48"/>
        <v>0.49</v>
      </c>
      <c r="J298">
        <f t="shared" si="50"/>
        <v>137.86999999999961</v>
      </c>
      <c r="K298">
        <f t="shared" si="51"/>
        <v>0</v>
      </c>
    </row>
    <row r="299" spans="1:11" x14ac:dyDescent="0.25">
      <c r="A299" s="1">
        <v>47901</v>
      </c>
      <c r="B299">
        <f t="shared" si="46"/>
        <v>22</v>
      </c>
      <c r="C299">
        <f t="shared" si="43"/>
        <v>2</v>
      </c>
      <c r="D299">
        <f t="shared" si="44"/>
        <v>2031</v>
      </c>
      <c r="E299">
        <f t="shared" si="45"/>
        <v>6</v>
      </c>
      <c r="F299">
        <f t="shared" si="49"/>
        <v>0</v>
      </c>
      <c r="G299">
        <f t="shared" si="52"/>
        <v>0.49</v>
      </c>
      <c r="H299">
        <f t="shared" si="47"/>
        <v>0.49</v>
      </c>
      <c r="I299">
        <f t="shared" si="48"/>
        <v>0.49</v>
      </c>
      <c r="J299">
        <f t="shared" si="50"/>
        <v>138.35999999999962</v>
      </c>
      <c r="K299">
        <f t="shared" si="51"/>
        <v>0</v>
      </c>
    </row>
    <row r="300" spans="1:11" x14ac:dyDescent="0.25">
      <c r="A300" s="1">
        <v>47902</v>
      </c>
      <c r="B300">
        <f t="shared" si="46"/>
        <v>23</v>
      </c>
      <c r="C300">
        <f t="shared" si="43"/>
        <v>2</v>
      </c>
      <c r="D300">
        <f t="shared" si="44"/>
        <v>2031</v>
      </c>
      <c r="E300">
        <f t="shared" si="45"/>
        <v>7</v>
      </c>
      <c r="F300">
        <f t="shared" si="49"/>
        <v>0</v>
      </c>
      <c r="G300">
        <f t="shared" si="52"/>
        <v>0.49</v>
      </c>
      <c r="H300">
        <f t="shared" si="47"/>
        <v>0.49</v>
      </c>
      <c r="I300">
        <f t="shared" si="48"/>
        <v>0</v>
      </c>
      <c r="J300">
        <f t="shared" si="50"/>
        <v>138.35999999999962</v>
      </c>
      <c r="K300">
        <f t="shared" si="51"/>
        <v>0</v>
      </c>
    </row>
    <row r="301" spans="1:11" x14ac:dyDescent="0.25">
      <c r="A301" s="1">
        <v>47903</v>
      </c>
      <c r="B301">
        <f t="shared" si="46"/>
        <v>24</v>
      </c>
      <c r="C301">
        <f t="shared" si="43"/>
        <v>2</v>
      </c>
      <c r="D301">
        <f t="shared" si="44"/>
        <v>2031</v>
      </c>
      <c r="E301">
        <f t="shared" si="45"/>
        <v>1</v>
      </c>
      <c r="F301">
        <f t="shared" si="49"/>
        <v>0</v>
      </c>
      <c r="G301">
        <f t="shared" si="52"/>
        <v>0.49</v>
      </c>
      <c r="H301">
        <f t="shared" si="47"/>
        <v>0.49</v>
      </c>
      <c r="I301">
        <f t="shared" si="48"/>
        <v>0.49</v>
      </c>
      <c r="J301">
        <f t="shared" si="50"/>
        <v>138.84999999999962</v>
      </c>
      <c r="K301">
        <f t="shared" si="51"/>
        <v>0</v>
      </c>
    </row>
    <row r="302" spans="1:11" x14ac:dyDescent="0.25">
      <c r="A302" s="1">
        <v>47904</v>
      </c>
      <c r="B302">
        <f t="shared" si="46"/>
        <v>25</v>
      </c>
      <c r="C302">
        <f t="shared" ref="C302:C338" si="53">MONTH(A302)</f>
        <v>2</v>
      </c>
      <c r="D302">
        <f t="shared" ref="D302:D338" si="54">YEAR(A302)</f>
        <v>2031</v>
      </c>
      <c r="E302">
        <f t="shared" ref="E302:E338" si="55">WEEKDAY(A302,2)</f>
        <v>2</v>
      </c>
      <c r="F302">
        <f t="shared" si="49"/>
        <v>0</v>
      </c>
      <c r="G302">
        <f t="shared" si="52"/>
        <v>0.49</v>
      </c>
      <c r="H302">
        <f t="shared" si="47"/>
        <v>0.49</v>
      </c>
      <c r="I302">
        <f t="shared" si="48"/>
        <v>0.49</v>
      </c>
      <c r="J302">
        <f t="shared" si="50"/>
        <v>139.33999999999963</v>
      </c>
      <c r="K302">
        <f t="shared" si="51"/>
        <v>0</v>
      </c>
    </row>
    <row r="303" spans="1:11" x14ac:dyDescent="0.25">
      <c r="A303" s="1">
        <v>47905</v>
      </c>
      <c r="B303">
        <f t="shared" si="46"/>
        <v>26</v>
      </c>
      <c r="C303">
        <f t="shared" si="53"/>
        <v>2</v>
      </c>
      <c r="D303">
        <f t="shared" si="54"/>
        <v>2031</v>
      </c>
      <c r="E303">
        <f t="shared" si="55"/>
        <v>3</v>
      </c>
      <c r="F303">
        <f t="shared" si="49"/>
        <v>0</v>
      </c>
      <c r="G303">
        <f t="shared" si="52"/>
        <v>0.49</v>
      </c>
      <c r="H303">
        <f t="shared" si="47"/>
        <v>0.49</v>
      </c>
      <c r="I303">
        <f t="shared" si="48"/>
        <v>0.49</v>
      </c>
      <c r="J303">
        <f t="shared" si="50"/>
        <v>139.82999999999964</v>
      </c>
      <c r="K303">
        <f t="shared" si="51"/>
        <v>0</v>
      </c>
    </row>
    <row r="304" spans="1:11" x14ac:dyDescent="0.25">
      <c r="A304" s="1">
        <v>47906</v>
      </c>
      <c r="B304">
        <f t="shared" si="46"/>
        <v>27</v>
      </c>
      <c r="C304">
        <f t="shared" si="53"/>
        <v>2</v>
      </c>
      <c r="D304">
        <f t="shared" si="54"/>
        <v>2031</v>
      </c>
      <c r="E304">
        <f t="shared" si="55"/>
        <v>4</v>
      </c>
      <c r="F304">
        <f t="shared" si="49"/>
        <v>0</v>
      </c>
      <c r="G304">
        <f t="shared" si="52"/>
        <v>0.49</v>
      </c>
      <c r="H304">
        <f t="shared" si="47"/>
        <v>0.49</v>
      </c>
      <c r="I304">
        <f t="shared" si="48"/>
        <v>0.49</v>
      </c>
      <c r="J304">
        <f t="shared" si="50"/>
        <v>140.31999999999965</v>
      </c>
      <c r="K304">
        <f t="shared" si="51"/>
        <v>0</v>
      </c>
    </row>
    <row r="305" spans="1:11" x14ac:dyDescent="0.25">
      <c r="A305" s="1">
        <v>47907</v>
      </c>
      <c r="B305">
        <f t="shared" si="46"/>
        <v>28</v>
      </c>
      <c r="C305">
        <f t="shared" si="53"/>
        <v>2</v>
      </c>
      <c r="D305">
        <f t="shared" si="54"/>
        <v>2031</v>
      </c>
      <c r="E305">
        <f t="shared" si="55"/>
        <v>5</v>
      </c>
      <c r="F305">
        <f t="shared" si="49"/>
        <v>0</v>
      </c>
      <c r="G305">
        <f t="shared" si="52"/>
        <v>0.49</v>
      </c>
      <c r="H305">
        <f t="shared" si="47"/>
        <v>0.49</v>
      </c>
      <c r="I305">
        <f t="shared" si="48"/>
        <v>0.49</v>
      </c>
      <c r="J305">
        <f t="shared" si="50"/>
        <v>140.80999999999966</v>
      </c>
      <c r="K305">
        <f t="shared" si="51"/>
        <v>0</v>
      </c>
    </row>
    <row r="306" spans="1:11" x14ac:dyDescent="0.25">
      <c r="A306" s="1">
        <v>47908</v>
      </c>
      <c r="B306">
        <f t="shared" si="46"/>
        <v>1</v>
      </c>
      <c r="C306">
        <f t="shared" si="53"/>
        <v>3</v>
      </c>
      <c r="D306">
        <f t="shared" si="54"/>
        <v>2031</v>
      </c>
      <c r="E306">
        <f t="shared" si="55"/>
        <v>6</v>
      </c>
      <c r="F306">
        <f t="shared" si="49"/>
        <v>1</v>
      </c>
      <c r="G306">
        <f t="shared" si="52"/>
        <v>0.49</v>
      </c>
      <c r="H306">
        <f t="shared" si="47"/>
        <v>0.5635</v>
      </c>
      <c r="I306">
        <f t="shared" si="48"/>
        <v>0</v>
      </c>
      <c r="J306">
        <f t="shared" si="50"/>
        <v>140.80999999999966</v>
      </c>
      <c r="K306">
        <f t="shared" si="51"/>
        <v>0</v>
      </c>
    </row>
    <row r="307" spans="1:11" x14ac:dyDescent="0.25">
      <c r="A307" s="1">
        <v>47909</v>
      </c>
      <c r="B307">
        <f t="shared" si="46"/>
        <v>2</v>
      </c>
      <c r="C307">
        <f t="shared" si="53"/>
        <v>3</v>
      </c>
      <c r="D307">
        <f t="shared" si="54"/>
        <v>2031</v>
      </c>
      <c r="E307">
        <f t="shared" si="55"/>
        <v>7</v>
      </c>
      <c r="F307">
        <f t="shared" si="49"/>
        <v>0</v>
      </c>
      <c r="G307">
        <f t="shared" si="52"/>
        <v>0.49</v>
      </c>
      <c r="H307">
        <f t="shared" si="47"/>
        <v>0.49</v>
      </c>
      <c r="I307">
        <f t="shared" si="48"/>
        <v>0</v>
      </c>
      <c r="J307">
        <f t="shared" si="50"/>
        <v>140.80999999999966</v>
      </c>
      <c r="K307">
        <f t="shared" si="51"/>
        <v>1</v>
      </c>
    </row>
    <row r="308" spans="1:11" x14ac:dyDescent="0.25">
      <c r="A308" s="1">
        <v>47910</v>
      </c>
      <c r="B308">
        <f t="shared" si="46"/>
        <v>3</v>
      </c>
      <c r="C308">
        <f t="shared" si="53"/>
        <v>3</v>
      </c>
      <c r="D308">
        <f t="shared" si="54"/>
        <v>2031</v>
      </c>
      <c r="E308">
        <f t="shared" si="55"/>
        <v>1</v>
      </c>
      <c r="F308">
        <f t="shared" si="49"/>
        <v>0</v>
      </c>
      <c r="G308">
        <f t="shared" si="52"/>
        <v>0.49</v>
      </c>
      <c r="H308">
        <f t="shared" si="47"/>
        <v>0.49</v>
      </c>
      <c r="I308">
        <f t="shared" si="48"/>
        <v>0.49</v>
      </c>
      <c r="J308">
        <f t="shared" si="50"/>
        <v>141.29999999999967</v>
      </c>
      <c r="K308">
        <f t="shared" si="51"/>
        <v>0</v>
      </c>
    </row>
    <row r="309" spans="1:11" x14ac:dyDescent="0.25">
      <c r="A309" s="1">
        <v>47911</v>
      </c>
      <c r="B309">
        <f t="shared" si="46"/>
        <v>4</v>
      </c>
      <c r="C309">
        <f t="shared" si="53"/>
        <v>3</v>
      </c>
      <c r="D309">
        <f t="shared" si="54"/>
        <v>2031</v>
      </c>
      <c r="E309">
        <f t="shared" si="55"/>
        <v>2</v>
      </c>
      <c r="F309">
        <f t="shared" si="49"/>
        <v>0</v>
      </c>
      <c r="G309">
        <f t="shared" si="52"/>
        <v>0.49</v>
      </c>
      <c r="H309">
        <f t="shared" si="47"/>
        <v>0.49</v>
      </c>
      <c r="I309">
        <f t="shared" si="48"/>
        <v>0.49</v>
      </c>
      <c r="J309">
        <f t="shared" si="50"/>
        <v>141.78999999999968</v>
      </c>
      <c r="K309">
        <f t="shared" si="51"/>
        <v>0</v>
      </c>
    </row>
    <row r="310" spans="1:11" x14ac:dyDescent="0.25">
      <c r="A310" s="1">
        <v>47912</v>
      </c>
      <c r="B310">
        <f t="shared" si="46"/>
        <v>5</v>
      </c>
      <c r="C310">
        <f t="shared" si="53"/>
        <v>3</v>
      </c>
      <c r="D310">
        <f t="shared" si="54"/>
        <v>2031</v>
      </c>
      <c r="E310">
        <f t="shared" si="55"/>
        <v>3</v>
      </c>
      <c r="F310">
        <f t="shared" si="49"/>
        <v>0</v>
      </c>
      <c r="G310">
        <f t="shared" si="52"/>
        <v>0.49</v>
      </c>
      <c r="H310">
        <f t="shared" si="47"/>
        <v>0.49</v>
      </c>
      <c r="I310">
        <f t="shared" si="48"/>
        <v>0.49</v>
      </c>
      <c r="J310">
        <f t="shared" si="50"/>
        <v>142.27999999999969</v>
      </c>
      <c r="K310">
        <f t="shared" si="51"/>
        <v>0</v>
      </c>
    </row>
    <row r="311" spans="1:11" x14ac:dyDescent="0.25">
      <c r="A311" s="1">
        <v>47913</v>
      </c>
      <c r="B311">
        <f t="shared" si="46"/>
        <v>6</v>
      </c>
      <c r="C311">
        <f t="shared" si="53"/>
        <v>3</v>
      </c>
      <c r="D311">
        <f t="shared" si="54"/>
        <v>2031</v>
      </c>
      <c r="E311">
        <f t="shared" si="55"/>
        <v>4</v>
      </c>
      <c r="F311">
        <f t="shared" si="49"/>
        <v>0</v>
      </c>
      <c r="G311">
        <f t="shared" si="52"/>
        <v>0.49</v>
      </c>
      <c r="H311">
        <f t="shared" si="47"/>
        <v>0.49</v>
      </c>
      <c r="I311">
        <f t="shared" si="48"/>
        <v>0.49</v>
      </c>
      <c r="J311">
        <f t="shared" si="50"/>
        <v>142.7699999999997</v>
      </c>
      <c r="K311">
        <f t="shared" si="51"/>
        <v>0</v>
      </c>
    </row>
    <row r="312" spans="1:11" x14ac:dyDescent="0.25">
      <c r="A312" s="1">
        <v>47914</v>
      </c>
      <c r="B312">
        <f t="shared" si="46"/>
        <v>7</v>
      </c>
      <c r="C312">
        <f t="shared" si="53"/>
        <v>3</v>
      </c>
      <c r="D312">
        <f t="shared" si="54"/>
        <v>2031</v>
      </c>
      <c r="E312">
        <f t="shared" si="55"/>
        <v>5</v>
      </c>
      <c r="F312">
        <f t="shared" si="49"/>
        <v>0</v>
      </c>
      <c r="G312">
        <f t="shared" si="52"/>
        <v>0.49</v>
      </c>
      <c r="H312">
        <f t="shared" si="47"/>
        <v>0.49</v>
      </c>
      <c r="I312">
        <f t="shared" si="48"/>
        <v>0.49</v>
      </c>
      <c r="J312">
        <f t="shared" si="50"/>
        <v>143.25999999999971</v>
      </c>
      <c r="K312">
        <f t="shared" si="51"/>
        <v>0</v>
      </c>
    </row>
    <row r="313" spans="1:11" x14ac:dyDescent="0.25">
      <c r="A313" s="1">
        <v>47915</v>
      </c>
      <c r="B313">
        <f t="shared" si="46"/>
        <v>8</v>
      </c>
      <c r="C313">
        <f t="shared" si="53"/>
        <v>3</v>
      </c>
      <c r="D313">
        <f t="shared" si="54"/>
        <v>2031</v>
      </c>
      <c r="E313">
        <f t="shared" si="55"/>
        <v>6</v>
      </c>
      <c r="F313">
        <f t="shared" si="49"/>
        <v>0</v>
      </c>
      <c r="G313">
        <f t="shared" si="52"/>
        <v>0.49</v>
      </c>
      <c r="H313">
        <f t="shared" si="47"/>
        <v>0.49</v>
      </c>
      <c r="I313">
        <f t="shared" si="48"/>
        <v>0.49</v>
      </c>
      <c r="J313">
        <f t="shared" si="50"/>
        <v>143.74999999999972</v>
      </c>
      <c r="K313">
        <f t="shared" si="51"/>
        <v>0</v>
      </c>
    </row>
    <row r="314" spans="1:11" x14ac:dyDescent="0.25">
      <c r="A314" s="1">
        <v>47916</v>
      </c>
      <c r="B314">
        <f t="shared" si="46"/>
        <v>9</v>
      </c>
      <c r="C314">
        <f t="shared" si="53"/>
        <v>3</v>
      </c>
      <c r="D314">
        <f t="shared" si="54"/>
        <v>2031</v>
      </c>
      <c r="E314">
        <f t="shared" si="55"/>
        <v>7</v>
      </c>
      <c r="F314">
        <f t="shared" si="49"/>
        <v>0</v>
      </c>
      <c r="G314">
        <f t="shared" si="52"/>
        <v>0.49</v>
      </c>
      <c r="H314">
        <f t="shared" si="47"/>
        <v>0.49</v>
      </c>
      <c r="I314">
        <f t="shared" si="48"/>
        <v>0</v>
      </c>
      <c r="J314">
        <f t="shared" si="50"/>
        <v>143.74999999999972</v>
      </c>
      <c r="K314">
        <f t="shared" si="51"/>
        <v>0</v>
      </c>
    </row>
    <row r="315" spans="1:11" x14ac:dyDescent="0.25">
      <c r="A315" s="1">
        <v>47917</v>
      </c>
      <c r="B315">
        <f t="shared" si="46"/>
        <v>10</v>
      </c>
      <c r="C315">
        <f t="shared" si="53"/>
        <v>3</v>
      </c>
      <c r="D315">
        <f t="shared" si="54"/>
        <v>2031</v>
      </c>
      <c r="E315">
        <f t="shared" si="55"/>
        <v>1</v>
      </c>
      <c r="F315">
        <f t="shared" si="49"/>
        <v>0</v>
      </c>
      <c r="G315">
        <f t="shared" si="52"/>
        <v>0.49</v>
      </c>
      <c r="H315">
        <f t="shared" si="47"/>
        <v>0.49</v>
      </c>
      <c r="I315">
        <f t="shared" si="48"/>
        <v>0.49</v>
      </c>
      <c r="J315">
        <f t="shared" si="50"/>
        <v>144.23999999999972</v>
      </c>
      <c r="K315">
        <f t="shared" si="51"/>
        <v>0</v>
      </c>
    </row>
    <row r="316" spans="1:11" x14ac:dyDescent="0.25">
      <c r="A316" s="1">
        <v>47918</v>
      </c>
      <c r="B316">
        <f t="shared" si="46"/>
        <v>11</v>
      </c>
      <c r="C316">
        <f t="shared" si="53"/>
        <v>3</v>
      </c>
      <c r="D316">
        <f t="shared" si="54"/>
        <v>2031</v>
      </c>
      <c r="E316">
        <f t="shared" si="55"/>
        <v>2</v>
      </c>
      <c r="F316">
        <f t="shared" si="49"/>
        <v>0</v>
      </c>
      <c r="G316">
        <f t="shared" si="52"/>
        <v>0.49</v>
      </c>
      <c r="H316">
        <f t="shared" si="47"/>
        <v>0.49</v>
      </c>
      <c r="I316">
        <f t="shared" si="48"/>
        <v>0.49</v>
      </c>
      <c r="J316">
        <f t="shared" si="50"/>
        <v>144.72999999999973</v>
      </c>
      <c r="K316">
        <f t="shared" si="51"/>
        <v>0</v>
      </c>
    </row>
    <row r="317" spans="1:11" x14ac:dyDescent="0.25">
      <c r="A317" s="1">
        <v>47919</v>
      </c>
      <c r="B317">
        <f t="shared" si="46"/>
        <v>12</v>
      </c>
      <c r="C317">
        <f t="shared" si="53"/>
        <v>3</v>
      </c>
      <c r="D317">
        <f t="shared" si="54"/>
        <v>2031</v>
      </c>
      <c r="E317">
        <f t="shared" si="55"/>
        <v>3</v>
      </c>
      <c r="F317">
        <f t="shared" si="49"/>
        <v>0</v>
      </c>
      <c r="G317">
        <f t="shared" si="52"/>
        <v>0.49</v>
      </c>
      <c r="H317">
        <f t="shared" si="47"/>
        <v>0.49</v>
      </c>
      <c r="I317">
        <f t="shared" si="48"/>
        <v>0.49</v>
      </c>
      <c r="J317">
        <f t="shared" si="50"/>
        <v>145.21999999999974</v>
      </c>
      <c r="K317">
        <f t="shared" si="51"/>
        <v>0</v>
      </c>
    </row>
    <row r="318" spans="1:11" x14ac:dyDescent="0.25">
      <c r="A318" s="1">
        <v>47920</v>
      </c>
      <c r="B318">
        <f t="shared" si="46"/>
        <v>13</v>
      </c>
      <c r="C318">
        <f t="shared" si="53"/>
        <v>3</v>
      </c>
      <c r="D318">
        <f t="shared" si="54"/>
        <v>2031</v>
      </c>
      <c r="E318">
        <f t="shared" si="55"/>
        <v>4</v>
      </c>
      <c r="F318">
        <f t="shared" si="49"/>
        <v>0</v>
      </c>
      <c r="G318">
        <f t="shared" si="52"/>
        <v>0.49</v>
      </c>
      <c r="H318">
        <f t="shared" si="47"/>
        <v>0.49</v>
      </c>
      <c r="I318">
        <f t="shared" si="48"/>
        <v>0.49</v>
      </c>
      <c r="J318">
        <f t="shared" si="50"/>
        <v>145.70999999999975</v>
      </c>
      <c r="K318">
        <f t="shared" si="51"/>
        <v>0</v>
      </c>
    </row>
    <row r="319" spans="1:11" x14ac:dyDescent="0.25">
      <c r="A319" s="1">
        <v>47921</v>
      </c>
      <c r="B319">
        <f t="shared" si="46"/>
        <v>14</v>
      </c>
      <c r="C319">
        <f t="shared" si="53"/>
        <v>3</v>
      </c>
      <c r="D319">
        <f t="shared" si="54"/>
        <v>2031</v>
      </c>
      <c r="E319">
        <f t="shared" si="55"/>
        <v>5</v>
      </c>
      <c r="F319">
        <f t="shared" si="49"/>
        <v>0</v>
      </c>
      <c r="G319">
        <f t="shared" si="52"/>
        <v>0.49</v>
      </c>
      <c r="H319">
        <f t="shared" si="47"/>
        <v>0.49</v>
      </c>
      <c r="I319">
        <f t="shared" si="48"/>
        <v>0.49</v>
      </c>
      <c r="J319">
        <f t="shared" si="50"/>
        <v>146.19999999999976</v>
      </c>
      <c r="K319">
        <f t="shared" si="51"/>
        <v>0</v>
      </c>
    </row>
    <row r="320" spans="1:11" x14ac:dyDescent="0.25">
      <c r="A320" s="1">
        <v>47922</v>
      </c>
      <c r="B320">
        <f t="shared" si="46"/>
        <v>15</v>
      </c>
      <c r="C320">
        <f t="shared" si="53"/>
        <v>3</v>
      </c>
      <c r="D320">
        <f t="shared" si="54"/>
        <v>2031</v>
      </c>
      <c r="E320">
        <f t="shared" si="55"/>
        <v>6</v>
      </c>
      <c r="F320">
        <f t="shared" si="49"/>
        <v>0</v>
      </c>
      <c r="G320">
        <f t="shared" si="52"/>
        <v>0.49</v>
      </c>
      <c r="H320">
        <f t="shared" si="47"/>
        <v>0.49</v>
      </c>
      <c r="I320">
        <f t="shared" si="48"/>
        <v>0.49</v>
      </c>
      <c r="J320">
        <f t="shared" si="50"/>
        <v>146.68999999999977</v>
      </c>
      <c r="K320">
        <f t="shared" si="51"/>
        <v>0</v>
      </c>
    </row>
    <row r="321" spans="1:11" x14ac:dyDescent="0.25">
      <c r="A321" s="1">
        <v>47923</v>
      </c>
      <c r="B321">
        <f t="shared" si="46"/>
        <v>16</v>
      </c>
      <c r="C321">
        <f t="shared" si="53"/>
        <v>3</v>
      </c>
      <c r="D321">
        <f t="shared" si="54"/>
        <v>2031</v>
      </c>
      <c r="E321">
        <f t="shared" si="55"/>
        <v>7</v>
      </c>
      <c r="F321">
        <f t="shared" si="49"/>
        <v>0</v>
      </c>
      <c r="G321">
        <f t="shared" si="52"/>
        <v>0.49</v>
      </c>
      <c r="H321">
        <f t="shared" si="47"/>
        <v>0.49</v>
      </c>
      <c r="I321">
        <f t="shared" si="48"/>
        <v>0</v>
      </c>
      <c r="J321">
        <f t="shared" si="50"/>
        <v>146.68999999999977</v>
      </c>
      <c r="K321">
        <f t="shared" si="51"/>
        <v>0</v>
      </c>
    </row>
    <row r="322" spans="1:11" x14ac:dyDescent="0.25">
      <c r="A322" s="1">
        <v>47924</v>
      </c>
      <c r="B322">
        <f t="shared" si="46"/>
        <v>17</v>
      </c>
      <c r="C322">
        <f t="shared" si="53"/>
        <v>3</v>
      </c>
      <c r="D322">
        <f t="shared" si="54"/>
        <v>2031</v>
      </c>
      <c r="E322">
        <f t="shared" si="55"/>
        <v>1</v>
      </c>
      <c r="F322">
        <f t="shared" si="49"/>
        <v>0</v>
      </c>
      <c r="G322">
        <f t="shared" si="52"/>
        <v>0.49</v>
      </c>
      <c r="H322">
        <f t="shared" si="47"/>
        <v>0.49</v>
      </c>
      <c r="I322">
        <f t="shared" si="48"/>
        <v>0.49</v>
      </c>
      <c r="J322">
        <f t="shared" si="50"/>
        <v>147.17999999999978</v>
      </c>
      <c r="K322">
        <f t="shared" si="51"/>
        <v>0</v>
      </c>
    </row>
    <row r="323" spans="1:11" x14ac:dyDescent="0.25">
      <c r="A323" s="1">
        <v>47925</v>
      </c>
      <c r="B323">
        <f t="shared" ref="B323:B376" si="56">DAY(A323)</f>
        <v>18</v>
      </c>
      <c r="C323">
        <f t="shared" si="53"/>
        <v>3</v>
      </c>
      <c r="D323">
        <f t="shared" si="54"/>
        <v>2031</v>
      </c>
      <c r="E323">
        <f t="shared" si="55"/>
        <v>2</v>
      </c>
      <c r="F323">
        <f t="shared" si="49"/>
        <v>0</v>
      </c>
      <c r="G323">
        <f t="shared" si="52"/>
        <v>0.49</v>
      </c>
      <c r="H323">
        <f t="shared" ref="H323:H338" si="57">IF(F323=1,G323+G323*0.15,G323)</f>
        <v>0.49</v>
      </c>
      <c r="I323">
        <f t="shared" ref="I323:I338" si="58">IF(AND(F323=0,E323&lt;&gt;7),H323,0)</f>
        <v>0.49</v>
      </c>
      <c r="J323">
        <f t="shared" si="50"/>
        <v>147.66999999999979</v>
      </c>
      <c r="K323">
        <f t="shared" si="51"/>
        <v>0</v>
      </c>
    </row>
    <row r="324" spans="1:11" x14ac:dyDescent="0.25">
      <c r="A324" s="1">
        <v>47926</v>
      </c>
      <c r="B324">
        <f t="shared" si="56"/>
        <v>19</v>
      </c>
      <c r="C324">
        <f t="shared" si="53"/>
        <v>3</v>
      </c>
      <c r="D324">
        <f t="shared" si="54"/>
        <v>2031</v>
      </c>
      <c r="E324">
        <f t="shared" si="55"/>
        <v>3</v>
      </c>
      <c r="F324">
        <f t="shared" ref="F324:F338" si="59">IF(B324=1,1,0)</f>
        <v>0</v>
      </c>
      <c r="G324">
        <f t="shared" si="52"/>
        <v>0.49</v>
      </c>
      <c r="H324">
        <f t="shared" si="57"/>
        <v>0.49</v>
      </c>
      <c r="I324">
        <f t="shared" si="58"/>
        <v>0.49</v>
      </c>
      <c r="J324">
        <f t="shared" ref="J324:J376" si="60">J323+I324</f>
        <v>148.1599999999998</v>
      </c>
      <c r="K324">
        <f t="shared" ref="K324:K376" si="61">IF(AND(I324=0,I323=0),1,0)</f>
        <v>0</v>
      </c>
    </row>
    <row r="325" spans="1:11" x14ac:dyDescent="0.25">
      <c r="A325" s="1">
        <v>47927</v>
      </c>
      <c r="B325">
        <f t="shared" si="56"/>
        <v>20</v>
      </c>
      <c r="C325">
        <f t="shared" si="53"/>
        <v>3</v>
      </c>
      <c r="D325">
        <f t="shared" si="54"/>
        <v>2031</v>
      </c>
      <c r="E325">
        <f t="shared" si="55"/>
        <v>4</v>
      </c>
      <c r="F325">
        <f t="shared" si="59"/>
        <v>0</v>
      </c>
      <c r="G325">
        <f t="shared" si="52"/>
        <v>0.49</v>
      </c>
      <c r="H325">
        <f t="shared" si="57"/>
        <v>0.49</v>
      </c>
      <c r="I325">
        <f t="shared" si="58"/>
        <v>0.49</v>
      </c>
      <c r="J325">
        <f t="shared" si="60"/>
        <v>148.64999999999981</v>
      </c>
      <c r="K325">
        <f t="shared" si="61"/>
        <v>0</v>
      </c>
    </row>
    <row r="326" spans="1:11" x14ac:dyDescent="0.25">
      <c r="A326" s="1">
        <v>47928</v>
      </c>
      <c r="B326">
        <f t="shared" si="56"/>
        <v>21</v>
      </c>
      <c r="C326">
        <f t="shared" si="53"/>
        <v>3</v>
      </c>
      <c r="D326">
        <f t="shared" si="54"/>
        <v>2031</v>
      </c>
      <c r="E326">
        <f t="shared" si="55"/>
        <v>5</v>
      </c>
      <c r="F326">
        <f t="shared" si="59"/>
        <v>0</v>
      </c>
      <c r="G326">
        <f t="shared" si="52"/>
        <v>0.49</v>
      </c>
      <c r="H326">
        <f t="shared" si="57"/>
        <v>0.49</v>
      </c>
      <c r="I326">
        <f t="shared" si="58"/>
        <v>0.49</v>
      </c>
      <c r="J326">
        <f t="shared" si="60"/>
        <v>149.13999999999982</v>
      </c>
      <c r="K326">
        <f t="shared" si="61"/>
        <v>0</v>
      </c>
    </row>
    <row r="327" spans="1:11" x14ac:dyDescent="0.25">
      <c r="A327" s="1">
        <v>47929</v>
      </c>
      <c r="B327">
        <f t="shared" si="56"/>
        <v>22</v>
      </c>
      <c r="C327">
        <f t="shared" si="53"/>
        <v>3</v>
      </c>
      <c r="D327">
        <f t="shared" si="54"/>
        <v>2031</v>
      </c>
      <c r="E327">
        <f t="shared" si="55"/>
        <v>6</v>
      </c>
      <c r="F327">
        <f t="shared" si="59"/>
        <v>0</v>
      </c>
      <c r="G327">
        <f t="shared" si="52"/>
        <v>0.49</v>
      </c>
      <c r="H327">
        <f t="shared" si="57"/>
        <v>0.49</v>
      </c>
      <c r="I327">
        <f t="shared" si="58"/>
        <v>0.49</v>
      </c>
      <c r="J327">
        <f t="shared" si="60"/>
        <v>149.62999999999982</v>
      </c>
      <c r="K327">
        <f t="shared" si="61"/>
        <v>0</v>
      </c>
    </row>
    <row r="328" spans="1:11" x14ac:dyDescent="0.25">
      <c r="A328" s="1">
        <v>47930</v>
      </c>
      <c r="B328">
        <f t="shared" si="56"/>
        <v>23</v>
      </c>
      <c r="C328">
        <f t="shared" si="53"/>
        <v>3</v>
      </c>
      <c r="D328">
        <f t="shared" si="54"/>
        <v>2031</v>
      </c>
      <c r="E328">
        <f t="shared" si="55"/>
        <v>7</v>
      </c>
      <c r="F328">
        <f t="shared" si="59"/>
        <v>0</v>
      </c>
      <c r="G328">
        <f t="shared" si="52"/>
        <v>0.49</v>
      </c>
      <c r="H328">
        <f t="shared" si="57"/>
        <v>0.49</v>
      </c>
      <c r="I328">
        <f t="shared" si="58"/>
        <v>0</v>
      </c>
      <c r="J328">
        <f t="shared" si="60"/>
        <v>149.62999999999982</v>
      </c>
      <c r="K328">
        <f t="shared" si="61"/>
        <v>0</v>
      </c>
    </row>
    <row r="329" spans="1:11" x14ac:dyDescent="0.25">
      <c r="A329" s="1">
        <v>47931</v>
      </c>
      <c r="B329">
        <f t="shared" si="56"/>
        <v>24</v>
      </c>
      <c r="C329">
        <f t="shared" si="53"/>
        <v>3</v>
      </c>
      <c r="D329">
        <f t="shared" si="54"/>
        <v>2031</v>
      </c>
      <c r="E329">
        <f t="shared" si="55"/>
        <v>1</v>
      </c>
      <c r="F329">
        <f t="shared" si="59"/>
        <v>0</v>
      </c>
      <c r="G329">
        <f t="shared" si="52"/>
        <v>0.49</v>
      </c>
      <c r="H329">
        <f t="shared" si="57"/>
        <v>0.49</v>
      </c>
      <c r="I329">
        <f t="shared" si="58"/>
        <v>0.49</v>
      </c>
      <c r="J329">
        <f t="shared" si="60"/>
        <v>150.11999999999983</v>
      </c>
      <c r="K329">
        <f t="shared" si="61"/>
        <v>0</v>
      </c>
    </row>
    <row r="330" spans="1:11" x14ac:dyDescent="0.25">
      <c r="A330" s="1">
        <v>47932</v>
      </c>
      <c r="B330">
        <f t="shared" si="56"/>
        <v>25</v>
      </c>
      <c r="C330">
        <f t="shared" si="53"/>
        <v>3</v>
      </c>
      <c r="D330">
        <f t="shared" si="54"/>
        <v>2031</v>
      </c>
      <c r="E330">
        <f t="shared" si="55"/>
        <v>2</v>
      </c>
      <c r="F330">
        <f t="shared" si="59"/>
        <v>0</v>
      </c>
      <c r="G330">
        <f t="shared" si="52"/>
        <v>0.49</v>
      </c>
      <c r="H330">
        <f t="shared" si="57"/>
        <v>0.49</v>
      </c>
      <c r="I330">
        <f t="shared" si="58"/>
        <v>0.49</v>
      </c>
      <c r="J330">
        <f t="shared" si="60"/>
        <v>150.60999999999984</v>
      </c>
      <c r="K330">
        <f t="shared" si="61"/>
        <v>0</v>
      </c>
    </row>
    <row r="331" spans="1:11" x14ac:dyDescent="0.25">
      <c r="A331" s="1">
        <v>47933</v>
      </c>
      <c r="B331">
        <f t="shared" si="56"/>
        <v>26</v>
      </c>
      <c r="C331">
        <f t="shared" si="53"/>
        <v>3</v>
      </c>
      <c r="D331">
        <f t="shared" si="54"/>
        <v>2031</v>
      </c>
      <c r="E331">
        <f t="shared" si="55"/>
        <v>3</v>
      </c>
      <c r="F331">
        <f t="shared" si="59"/>
        <v>0</v>
      </c>
      <c r="G331">
        <f t="shared" si="52"/>
        <v>0.49</v>
      </c>
      <c r="H331">
        <f t="shared" si="57"/>
        <v>0.49</v>
      </c>
      <c r="I331">
        <f t="shared" si="58"/>
        <v>0.49</v>
      </c>
      <c r="J331">
        <f t="shared" si="60"/>
        <v>151.09999999999985</v>
      </c>
      <c r="K331">
        <f t="shared" si="61"/>
        <v>0</v>
      </c>
    </row>
    <row r="332" spans="1:11" x14ac:dyDescent="0.25">
      <c r="A332" s="1">
        <v>47934</v>
      </c>
      <c r="B332">
        <f t="shared" si="56"/>
        <v>27</v>
      </c>
      <c r="C332">
        <f t="shared" si="53"/>
        <v>3</v>
      </c>
      <c r="D332">
        <f t="shared" si="54"/>
        <v>2031</v>
      </c>
      <c r="E332">
        <f t="shared" si="55"/>
        <v>4</v>
      </c>
      <c r="F332">
        <f t="shared" si="59"/>
        <v>0</v>
      </c>
      <c r="G332">
        <f t="shared" si="52"/>
        <v>0.49</v>
      </c>
      <c r="H332">
        <f t="shared" si="57"/>
        <v>0.49</v>
      </c>
      <c r="I332">
        <f t="shared" si="58"/>
        <v>0.49</v>
      </c>
      <c r="J332">
        <f t="shared" si="60"/>
        <v>151.58999999999986</v>
      </c>
      <c r="K332">
        <f t="shared" si="61"/>
        <v>0</v>
      </c>
    </row>
    <row r="333" spans="1:11" x14ac:dyDescent="0.25">
      <c r="A333" s="1">
        <v>47935</v>
      </c>
      <c r="B333">
        <f t="shared" si="56"/>
        <v>28</v>
      </c>
      <c r="C333">
        <f t="shared" si="53"/>
        <v>3</v>
      </c>
      <c r="D333">
        <f t="shared" si="54"/>
        <v>2031</v>
      </c>
      <c r="E333">
        <f t="shared" si="55"/>
        <v>5</v>
      </c>
      <c r="F333">
        <f t="shared" si="59"/>
        <v>0</v>
      </c>
      <c r="G333">
        <f t="shared" si="52"/>
        <v>0.49</v>
      </c>
      <c r="H333">
        <f t="shared" si="57"/>
        <v>0.49</v>
      </c>
      <c r="I333">
        <f t="shared" si="58"/>
        <v>0.49</v>
      </c>
      <c r="J333">
        <f t="shared" si="60"/>
        <v>152.07999999999987</v>
      </c>
      <c r="K333">
        <f t="shared" si="61"/>
        <v>0</v>
      </c>
    </row>
    <row r="334" spans="1:11" x14ac:dyDescent="0.25">
      <c r="A334" s="1">
        <v>47936</v>
      </c>
      <c r="B334">
        <f t="shared" si="56"/>
        <v>29</v>
      </c>
      <c r="C334">
        <f t="shared" si="53"/>
        <v>3</v>
      </c>
      <c r="D334">
        <f t="shared" si="54"/>
        <v>2031</v>
      </c>
      <c r="E334">
        <f t="shared" si="55"/>
        <v>6</v>
      </c>
      <c r="F334">
        <f t="shared" si="59"/>
        <v>0</v>
      </c>
      <c r="G334">
        <f t="shared" si="52"/>
        <v>0.49</v>
      </c>
      <c r="H334">
        <f t="shared" si="57"/>
        <v>0.49</v>
      </c>
      <c r="I334">
        <f t="shared" si="58"/>
        <v>0.49</v>
      </c>
      <c r="J334">
        <f t="shared" si="60"/>
        <v>152.56999999999988</v>
      </c>
      <c r="K334">
        <f t="shared" si="61"/>
        <v>0</v>
      </c>
    </row>
    <row r="335" spans="1:11" x14ac:dyDescent="0.25">
      <c r="A335" s="1">
        <v>47937</v>
      </c>
      <c r="B335">
        <f t="shared" si="56"/>
        <v>30</v>
      </c>
      <c r="C335">
        <f t="shared" si="53"/>
        <v>3</v>
      </c>
      <c r="D335">
        <f t="shared" si="54"/>
        <v>2031</v>
      </c>
      <c r="E335">
        <f t="shared" si="55"/>
        <v>7</v>
      </c>
      <c r="F335">
        <f t="shared" si="59"/>
        <v>0</v>
      </c>
      <c r="G335">
        <f t="shared" si="52"/>
        <v>0.49</v>
      </c>
      <c r="H335">
        <f t="shared" si="57"/>
        <v>0.49</v>
      </c>
      <c r="I335">
        <f t="shared" si="58"/>
        <v>0</v>
      </c>
      <c r="J335">
        <f t="shared" si="60"/>
        <v>152.56999999999988</v>
      </c>
      <c r="K335">
        <f t="shared" si="61"/>
        <v>0</v>
      </c>
    </row>
    <row r="336" spans="1:11" x14ac:dyDescent="0.25">
      <c r="A336" s="1">
        <v>47938</v>
      </c>
      <c r="B336">
        <f t="shared" si="56"/>
        <v>31</v>
      </c>
      <c r="C336">
        <f t="shared" si="53"/>
        <v>3</v>
      </c>
      <c r="D336">
        <f t="shared" si="54"/>
        <v>2031</v>
      </c>
      <c r="E336">
        <f t="shared" si="55"/>
        <v>1</v>
      </c>
      <c r="F336">
        <f t="shared" si="59"/>
        <v>0</v>
      </c>
      <c r="G336">
        <f t="shared" si="52"/>
        <v>0.49</v>
      </c>
      <c r="H336">
        <f t="shared" si="57"/>
        <v>0.49</v>
      </c>
      <c r="I336">
        <f t="shared" si="58"/>
        <v>0.49</v>
      </c>
      <c r="J336">
        <f t="shared" si="60"/>
        <v>153.05999999999989</v>
      </c>
      <c r="K336">
        <f t="shared" si="61"/>
        <v>0</v>
      </c>
    </row>
    <row r="337" spans="1:11" x14ac:dyDescent="0.25">
      <c r="A337" s="1">
        <v>47939</v>
      </c>
      <c r="B337">
        <f t="shared" si="56"/>
        <v>1</v>
      </c>
      <c r="C337">
        <f t="shared" si="53"/>
        <v>4</v>
      </c>
      <c r="D337">
        <f t="shared" si="54"/>
        <v>2031</v>
      </c>
      <c r="E337">
        <f t="shared" si="55"/>
        <v>2</v>
      </c>
      <c r="F337">
        <f t="shared" si="59"/>
        <v>1</v>
      </c>
      <c r="G337">
        <f t="shared" ref="G337:G338" si="62">IF(G336&lt;&gt;0,ROUNDUP(G336*0.98,2),ROUNDUP(G335*0.98,2))</f>
        <v>0.49</v>
      </c>
      <c r="H337">
        <f t="shared" si="57"/>
        <v>0.5635</v>
      </c>
      <c r="I337">
        <f t="shared" si="58"/>
        <v>0</v>
      </c>
      <c r="J337">
        <f t="shared" si="60"/>
        <v>153.05999999999989</v>
      </c>
      <c r="K337">
        <f t="shared" si="61"/>
        <v>0</v>
      </c>
    </row>
    <row r="338" spans="1:11" x14ac:dyDescent="0.25">
      <c r="A338" s="1">
        <v>47940</v>
      </c>
      <c r="B338">
        <f t="shared" si="56"/>
        <v>2</v>
      </c>
      <c r="C338">
        <f t="shared" si="53"/>
        <v>4</v>
      </c>
      <c r="D338">
        <f t="shared" si="54"/>
        <v>2031</v>
      </c>
      <c r="E338">
        <f t="shared" si="55"/>
        <v>3</v>
      </c>
      <c r="F338">
        <f t="shared" si="59"/>
        <v>0</v>
      </c>
      <c r="G338">
        <f t="shared" si="62"/>
        <v>0.49</v>
      </c>
      <c r="H338">
        <f t="shared" si="57"/>
        <v>0.49</v>
      </c>
      <c r="I338">
        <f t="shared" si="58"/>
        <v>0.49</v>
      </c>
      <c r="J338">
        <f t="shared" si="60"/>
        <v>153.5499999999999</v>
      </c>
      <c r="K338">
        <f t="shared" si="61"/>
        <v>0</v>
      </c>
    </row>
    <row r="339" spans="1:11" x14ac:dyDescent="0.25">
      <c r="A339" s="1">
        <v>47941</v>
      </c>
      <c r="B339">
        <f t="shared" si="56"/>
        <v>3</v>
      </c>
      <c r="C339">
        <f t="shared" ref="C339:C359" si="63">MONTH(A339)</f>
        <v>4</v>
      </c>
      <c r="D339">
        <f t="shared" ref="D339:D359" si="64">YEAR(A339)</f>
        <v>2031</v>
      </c>
      <c r="E339">
        <f t="shared" ref="E339:E359" si="65">WEEKDAY(A339,2)</f>
        <v>4</v>
      </c>
      <c r="F339">
        <f t="shared" ref="F339:F359" si="66">IF(B339=1,1,0)</f>
        <v>0</v>
      </c>
      <c r="G339">
        <f t="shared" ref="G339:G359" si="67">IF(G338&lt;&gt;0,ROUNDUP(G338*0.98,2),ROUNDUP(G337*0.98,2))</f>
        <v>0.49</v>
      </c>
      <c r="H339">
        <f t="shared" ref="H339:H359" si="68">IF(F339=1,G339+G339*0.15,G339)</f>
        <v>0.49</v>
      </c>
      <c r="I339">
        <f t="shared" ref="I339:I359" si="69">IF(AND(F339=0,E339&lt;&gt;7),H339,0)</f>
        <v>0.49</v>
      </c>
      <c r="J339">
        <f t="shared" si="60"/>
        <v>154.03999999999991</v>
      </c>
      <c r="K339">
        <f t="shared" si="61"/>
        <v>0</v>
      </c>
    </row>
    <row r="340" spans="1:11" x14ac:dyDescent="0.25">
      <c r="A340" s="1">
        <v>47942</v>
      </c>
      <c r="B340">
        <f t="shared" si="56"/>
        <v>4</v>
      </c>
      <c r="C340">
        <f t="shared" si="63"/>
        <v>4</v>
      </c>
      <c r="D340">
        <f t="shared" si="64"/>
        <v>2031</v>
      </c>
      <c r="E340">
        <f t="shared" si="65"/>
        <v>5</v>
      </c>
      <c r="F340">
        <f t="shared" si="66"/>
        <v>0</v>
      </c>
      <c r="G340">
        <f t="shared" si="67"/>
        <v>0.49</v>
      </c>
      <c r="H340">
        <f t="shared" si="68"/>
        <v>0.49</v>
      </c>
      <c r="I340">
        <f t="shared" si="69"/>
        <v>0.49</v>
      </c>
      <c r="J340">
        <f t="shared" si="60"/>
        <v>154.52999999999992</v>
      </c>
      <c r="K340">
        <f t="shared" si="61"/>
        <v>0</v>
      </c>
    </row>
    <row r="341" spans="1:11" x14ac:dyDescent="0.25">
      <c r="A341" s="1">
        <v>47943</v>
      </c>
      <c r="B341">
        <f t="shared" si="56"/>
        <v>5</v>
      </c>
      <c r="C341">
        <f t="shared" si="63"/>
        <v>4</v>
      </c>
      <c r="D341">
        <f t="shared" si="64"/>
        <v>2031</v>
      </c>
      <c r="E341">
        <f t="shared" si="65"/>
        <v>6</v>
      </c>
      <c r="F341">
        <f t="shared" si="66"/>
        <v>0</v>
      </c>
      <c r="G341">
        <f t="shared" si="67"/>
        <v>0.49</v>
      </c>
      <c r="H341">
        <f t="shared" si="68"/>
        <v>0.49</v>
      </c>
      <c r="I341">
        <f t="shared" si="69"/>
        <v>0.49</v>
      </c>
      <c r="J341">
        <f t="shared" si="60"/>
        <v>155.01999999999992</v>
      </c>
      <c r="K341">
        <f t="shared" si="61"/>
        <v>0</v>
      </c>
    </row>
    <row r="342" spans="1:11" x14ac:dyDescent="0.25">
      <c r="A342" s="1">
        <v>47944</v>
      </c>
      <c r="B342">
        <f t="shared" si="56"/>
        <v>6</v>
      </c>
      <c r="C342">
        <f t="shared" si="63"/>
        <v>4</v>
      </c>
      <c r="D342">
        <f t="shared" si="64"/>
        <v>2031</v>
      </c>
      <c r="E342">
        <f t="shared" si="65"/>
        <v>7</v>
      </c>
      <c r="F342">
        <f t="shared" si="66"/>
        <v>0</v>
      </c>
      <c r="G342">
        <f t="shared" si="67"/>
        <v>0.49</v>
      </c>
      <c r="H342">
        <f t="shared" si="68"/>
        <v>0.49</v>
      </c>
      <c r="I342">
        <f t="shared" si="69"/>
        <v>0</v>
      </c>
      <c r="J342">
        <f t="shared" si="60"/>
        <v>155.01999999999992</v>
      </c>
      <c r="K342">
        <f t="shared" si="61"/>
        <v>0</v>
      </c>
    </row>
    <row r="343" spans="1:11" x14ac:dyDescent="0.25">
      <c r="A343" s="1">
        <v>47945</v>
      </c>
      <c r="B343">
        <f t="shared" si="56"/>
        <v>7</v>
      </c>
      <c r="C343">
        <f t="shared" si="63"/>
        <v>4</v>
      </c>
      <c r="D343">
        <f t="shared" si="64"/>
        <v>2031</v>
      </c>
      <c r="E343">
        <f t="shared" si="65"/>
        <v>1</v>
      </c>
      <c r="F343">
        <f t="shared" si="66"/>
        <v>0</v>
      </c>
      <c r="G343">
        <f t="shared" si="67"/>
        <v>0.49</v>
      </c>
      <c r="H343">
        <f t="shared" si="68"/>
        <v>0.49</v>
      </c>
      <c r="I343">
        <f t="shared" si="69"/>
        <v>0.49</v>
      </c>
      <c r="J343">
        <f t="shared" si="60"/>
        <v>155.50999999999993</v>
      </c>
      <c r="K343">
        <f t="shared" si="61"/>
        <v>0</v>
      </c>
    </row>
    <row r="344" spans="1:11" x14ac:dyDescent="0.25">
      <c r="A344" s="1">
        <v>47946</v>
      </c>
      <c r="B344">
        <f t="shared" si="56"/>
        <v>8</v>
      </c>
      <c r="C344">
        <f t="shared" si="63"/>
        <v>4</v>
      </c>
      <c r="D344">
        <f t="shared" si="64"/>
        <v>2031</v>
      </c>
      <c r="E344">
        <f t="shared" si="65"/>
        <v>2</v>
      </c>
      <c r="F344">
        <f t="shared" si="66"/>
        <v>0</v>
      </c>
      <c r="G344">
        <f t="shared" si="67"/>
        <v>0.49</v>
      </c>
      <c r="H344">
        <f t="shared" si="68"/>
        <v>0.49</v>
      </c>
      <c r="I344">
        <f t="shared" si="69"/>
        <v>0.49</v>
      </c>
      <c r="J344">
        <f t="shared" si="60"/>
        <v>155.99999999999994</v>
      </c>
      <c r="K344">
        <f t="shared" si="61"/>
        <v>0</v>
      </c>
    </row>
    <row r="345" spans="1:11" x14ac:dyDescent="0.25">
      <c r="A345" s="1">
        <v>47947</v>
      </c>
      <c r="B345">
        <f t="shared" si="56"/>
        <v>9</v>
      </c>
      <c r="C345">
        <f t="shared" si="63"/>
        <v>4</v>
      </c>
      <c r="D345">
        <f t="shared" si="64"/>
        <v>2031</v>
      </c>
      <c r="E345">
        <f t="shared" si="65"/>
        <v>3</v>
      </c>
      <c r="F345">
        <f t="shared" si="66"/>
        <v>0</v>
      </c>
      <c r="G345">
        <f t="shared" si="67"/>
        <v>0.49</v>
      </c>
      <c r="H345">
        <f t="shared" si="68"/>
        <v>0.49</v>
      </c>
      <c r="I345">
        <f t="shared" si="69"/>
        <v>0.49</v>
      </c>
      <c r="J345">
        <f t="shared" si="60"/>
        <v>156.48999999999995</v>
      </c>
      <c r="K345">
        <f t="shared" si="61"/>
        <v>0</v>
      </c>
    </row>
    <row r="346" spans="1:11" x14ac:dyDescent="0.25">
      <c r="A346" s="1">
        <v>47948</v>
      </c>
      <c r="B346">
        <f t="shared" si="56"/>
        <v>10</v>
      </c>
      <c r="C346">
        <f t="shared" si="63"/>
        <v>4</v>
      </c>
      <c r="D346">
        <f t="shared" si="64"/>
        <v>2031</v>
      </c>
      <c r="E346">
        <f t="shared" si="65"/>
        <v>4</v>
      </c>
      <c r="F346">
        <f t="shared" si="66"/>
        <v>0</v>
      </c>
      <c r="G346">
        <f t="shared" si="67"/>
        <v>0.49</v>
      </c>
      <c r="H346">
        <f t="shared" si="68"/>
        <v>0.49</v>
      </c>
      <c r="I346">
        <f t="shared" si="69"/>
        <v>0.49</v>
      </c>
      <c r="J346">
        <f t="shared" si="60"/>
        <v>156.97999999999996</v>
      </c>
      <c r="K346">
        <f t="shared" si="61"/>
        <v>0</v>
      </c>
    </row>
    <row r="347" spans="1:11" x14ac:dyDescent="0.25">
      <c r="A347" s="1">
        <v>47949</v>
      </c>
      <c r="B347">
        <f t="shared" si="56"/>
        <v>11</v>
      </c>
      <c r="C347">
        <f t="shared" si="63"/>
        <v>4</v>
      </c>
      <c r="D347">
        <f t="shared" si="64"/>
        <v>2031</v>
      </c>
      <c r="E347">
        <f t="shared" si="65"/>
        <v>5</v>
      </c>
      <c r="F347">
        <f t="shared" si="66"/>
        <v>0</v>
      </c>
      <c r="G347">
        <f t="shared" si="67"/>
        <v>0.49</v>
      </c>
      <c r="H347">
        <f t="shared" si="68"/>
        <v>0.49</v>
      </c>
      <c r="I347">
        <f t="shared" si="69"/>
        <v>0.49</v>
      </c>
      <c r="J347">
        <f t="shared" si="60"/>
        <v>157.46999999999997</v>
      </c>
      <c r="K347">
        <f t="shared" si="61"/>
        <v>0</v>
      </c>
    </row>
    <row r="348" spans="1:11" x14ac:dyDescent="0.25">
      <c r="A348" s="1">
        <v>47950</v>
      </c>
      <c r="B348">
        <f t="shared" si="56"/>
        <v>12</v>
      </c>
      <c r="C348">
        <f t="shared" si="63"/>
        <v>4</v>
      </c>
      <c r="D348">
        <f t="shared" si="64"/>
        <v>2031</v>
      </c>
      <c r="E348">
        <f t="shared" si="65"/>
        <v>6</v>
      </c>
      <c r="F348">
        <f t="shared" si="66"/>
        <v>0</v>
      </c>
      <c r="G348">
        <f t="shared" si="67"/>
        <v>0.49</v>
      </c>
      <c r="H348">
        <f t="shared" si="68"/>
        <v>0.49</v>
      </c>
      <c r="I348">
        <f t="shared" si="69"/>
        <v>0.49</v>
      </c>
      <c r="J348">
        <f t="shared" si="60"/>
        <v>157.95999999999998</v>
      </c>
      <c r="K348">
        <f t="shared" si="61"/>
        <v>0</v>
      </c>
    </row>
    <row r="349" spans="1:11" x14ac:dyDescent="0.25">
      <c r="A349" s="1">
        <v>47951</v>
      </c>
      <c r="B349">
        <f t="shared" si="56"/>
        <v>13</v>
      </c>
      <c r="C349">
        <f t="shared" si="63"/>
        <v>4</v>
      </c>
      <c r="D349">
        <f t="shared" si="64"/>
        <v>2031</v>
      </c>
      <c r="E349">
        <f t="shared" si="65"/>
        <v>7</v>
      </c>
      <c r="F349">
        <f t="shared" si="66"/>
        <v>0</v>
      </c>
      <c r="G349">
        <f t="shared" si="67"/>
        <v>0.49</v>
      </c>
      <c r="H349">
        <f t="shared" si="68"/>
        <v>0.49</v>
      </c>
      <c r="I349">
        <f t="shared" si="69"/>
        <v>0</v>
      </c>
      <c r="J349">
        <f t="shared" si="60"/>
        <v>157.95999999999998</v>
      </c>
      <c r="K349">
        <f t="shared" si="61"/>
        <v>0</v>
      </c>
    </row>
    <row r="350" spans="1:11" x14ac:dyDescent="0.25">
      <c r="A350" s="1">
        <v>47952</v>
      </c>
      <c r="B350">
        <f t="shared" si="56"/>
        <v>14</v>
      </c>
      <c r="C350">
        <f t="shared" si="63"/>
        <v>4</v>
      </c>
      <c r="D350">
        <f t="shared" si="64"/>
        <v>2031</v>
      </c>
      <c r="E350">
        <f t="shared" si="65"/>
        <v>1</v>
      </c>
      <c r="F350">
        <f t="shared" si="66"/>
        <v>0</v>
      </c>
      <c r="G350">
        <f t="shared" si="67"/>
        <v>0.49</v>
      </c>
      <c r="H350">
        <f t="shared" si="68"/>
        <v>0.49</v>
      </c>
      <c r="I350">
        <f t="shared" si="69"/>
        <v>0.49</v>
      </c>
      <c r="J350">
        <f t="shared" si="60"/>
        <v>158.44999999999999</v>
      </c>
      <c r="K350">
        <f t="shared" si="61"/>
        <v>0</v>
      </c>
    </row>
    <row r="351" spans="1:11" x14ac:dyDescent="0.25">
      <c r="A351" s="1">
        <v>47953</v>
      </c>
      <c r="B351">
        <f t="shared" si="56"/>
        <v>15</v>
      </c>
      <c r="C351">
        <f t="shared" si="63"/>
        <v>4</v>
      </c>
      <c r="D351">
        <f t="shared" si="64"/>
        <v>2031</v>
      </c>
      <c r="E351">
        <f t="shared" si="65"/>
        <v>2</v>
      </c>
      <c r="F351">
        <f t="shared" si="66"/>
        <v>0</v>
      </c>
      <c r="G351">
        <f t="shared" si="67"/>
        <v>0.49</v>
      </c>
      <c r="H351">
        <f t="shared" si="68"/>
        <v>0.49</v>
      </c>
      <c r="I351">
        <f t="shared" si="69"/>
        <v>0.49</v>
      </c>
      <c r="J351">
        <f t="shared" si="60"/>
        <v>158.94</v>
      </c>
      <c r="K351">
        <f t="shared" si="61"/>
        <v>0</v>
      </c>
    </row>
    <row r="352" spans="1:11" x14ac:dyDescent="0.25">
      <c r="A352" s="1">
        <v>47954</v>
      </c>
      <c r="B352">
        <f t="shared" si="56"/>
        <v>16</v>
      </c>
      <c r="C352">
        <f t="shared" si="63"/>
        <v>4</v>
      </c>
      <c r="D352">
        <f t="shared" si="64"/>
        <v>2031</v>
      </c>
      <c r="E352">
        <f t="shared" si="65"/>
        <v>3</v>
      </c>
      <c r="F352">
        <f t="shared" si="66"/>
        <v>0</v>
      </c>
      <c r="G352">
        <f t="shared" si="67"/>
        <v>0.49</v>
      </c>
      <c r="H352">
        <f t="shared" si="68"/>
        <v>0.49</v>
      </c>
      <c r="I352">
        <f t="shared" si="69"/>
        <v>0.49</v>
      </c>
      <c r="J352">
        <f t="shared" si="60"/>
        <v>159.43</v>
      </c>
      <c r="K352">
        <f t="shared" si="61"/>
        <v>0</v>
      </c>
    </row>
    <row r="353" spans="1:11" x14ac:dyDescent="0.25">
      <c r="A353" s="1">
        <v>47955</v>
      </c>
      <c r="B353">
        <f t="shared" si="56"/>
        <v>17</v>
      </c>
      <c r="C353">
        <f t="shared" si="63"/>
        <v>4</v>
      </c>
      <c r="D353">
        <f t="shared" si="64"/>
        <v>2031</v>
      </c>
      <c r="E353">
        <f t="shared" si="65"/>
        <v>4</v>
      </c>
      <c r="F353">
        <f t="shared" si="66"/>
        <v>0</v>
      </c>
      <c r="G353">
        <f t="shared" si="67"/>
        <v>0.49</v>
      </c>
      <c r="H353">
        <f t="shared" si="68"/>
        <v>0.49</v>
      </c>
      <c r="I353">
        <f t="shared" si="69"/>
        <v>0.49</v>
      </c>
      <c r="J353">
        <f t="shared" si="60"/>
        <v>159.92000000000002</v>
      </c>
      <c r="K353">
        <f t="shared" si="61"/>
        <v>0</v>
      </c>
    </row>
    <row r="354" spans="1:11" x14ac:dyDescent="0.25">
      <c r="A354" s="1">
        <v>47956</v>
      </c>
      <c r="B354">
        <f t="shared" si="56"/>
        <v>18</v>
      </c>
      <c r="C354">
        <f t="shared" si="63"/>
        <v>4</v>
      </c>
      <c r="D354">
        <f t="shared" si="64"/>
        <v>2031</v>
      </c>
      <c r="E354">
        <f t="shared" si="65"/>
        <v>5</v>
      </c>
      <c r="F354">
        <f t="shared" si="66"/>
        <v>0</v>
      </c>
      <c r="G354">
        <f t="shared" si="67"/>
        <v>0.49</v>
      </c>
      <c r="H354">
        <f t="shared" si="68"/>
        <v>0.49</v>
      </c>
      <c r="I354">
        <f t="shared" si="69"/>
        <v>0.49</v>
      </c>
      <c r="J354">
        <f t="shared" si="60"/>
        <v>160.41000000000003</v>
      </c>
      <c r="K354">
        <f t="shared" si="61"/>
        <v>0</v>
      </c>
    </row>
    <row r="355" spans="1:11" x14ac:dyDescent="0.25">
      <c r="A355" s="1">
        <v>47957</v>
      </c>
      <c r="B355">
        <f t="shared" si="56"/>
        <v>19</v>
      </c>
      <c r="C355">
        <f t="shared" si="63"/>
        <v>4</v>
      </c>
      <c r="D355">
        <f t="shared" si="64"/>
        <v>2031</v>
      </c>
      <c r="E355">
        <f t="shared" si="65"/>
        <v>6</v>
      </c>
      <c r="F355">
        <f t="shared" si="66"/>
        <v>0</v>
      </c>
      <c r="G355">
        <f t="shared" si="67"/>
        <v>0.49</v>
      </c>
      <c r="H355">
        <f t="shared" si="68"/>
        <v>0.49</v>
      </c>
      <c r="I355">
        <f t="shared" si="69"/>
        <v>0.49</v>
      </c>
      <c r="J355">
        <f t="shared" si="60"/>
        <v>160.90000000000003</v>
      </c>
      <c r="K355">
        <f t="shared" si="61"/>
        <v>0</v>
      </c>
    </row>
    <row r="356" spans="1:11" x14ac:dyDescent="0.25">
      <c r="A356" s="1">
        <v>47958</v>
      </c>
      <c r="B356">
        <f t="shared" si="56"/>
        <v>20</v>
      </c>
      <c r="C356">
        <f t="shared" si="63"/>
        <v>4</v>
      </c>
      <c r="D356">
        <f t="shared" si="64"/>
        <v>2031</v>
      </c>
      <c r="E356">
        <f t="shared" si="65"/>
        <v>7</v>
      </c>
      <c r="F356">
        <f t="shared" si="66"/>
        <v>0</v>
      </c>
      <c r="G356">
        <f t="shared" si="67"/>
        <v>0.49</v>
      </c>
      <c r="H356">
        <f t="shared" si="68"/>
        <v>0.49</v>
      </c>
      <c r="I356">
        <f t="shared" si="69"/>
        <v>0</v>
      </c>
      <c r="J356">
        <f t="shared" si="60"/>
        <v>160.90000000000003</v>
      </c>
      <c r="K356">
        <f t="shared" si="61"/>
        <v>0</v>
      </c>
    </row>
    <row r="357" spans="1:11" x14ac:dyDescent="0.25">
      <c r="A357" s="1">
        <v>47959</v>
      </c>
      <c r="B357">
        <f t="shared" si="56"/>
        <v>21</v>
      </c>
      <c r="C357">
        <f t="shared" si="63"/>
        <v>4</v>
      </c>
      <c r="D357">
        <f t="shared" si="64"/>
        <v>2031</v>
      </c>
      <c r="E357">
        <f t="shared" si="65"/>
        <v>1</v>
      </c>
      <c r="F357">
        <f t="shared" si="66"/>
        <v>0</v>
      </c>
      <c r="G357">
        <f t="shared" si="67"/>
        <v>0.49</v>
      </c>
      <c r="H357">
        <f t="shared" si="68"/>
        <v>0.49</v>
      </c>
      <c r="I357">
        <f t="shared" si="69"/>
        <v>0.49</v>
      </c>
      <c r="J357">
        <f t="shared" si="60"/>
        <v>161.39000000000004</v>
      </c>
      <c r="K357">
        <f t="shared" si="61"/>
        <v>0</v>
      </c>
    </row>
    <row r="358" spans="1:11" x14ac:dyDescent="0.25">
      <c r="A358" s="1">
        <v>47960</v>
      </c>
      <c r="B358">
        <f t="shared" si="56"/>
        <v>22</v>
      </c>
      <c r="C358">
        <f t="shared" si="63"/>
        <v>4</v>
      </c>
      <c r="D358">
        <f t="shared" si="64"/>
        <v>2031</v>
      </c>
      <c r="E358">
        <f t="shared" si="65"/>
        <v>2</v>
      </c>
      <c r="F358">
        <f t="shared" si="66"/>
        <v>0</v>
      </c>
      <c r="G358">
        <f t="shared" si="67"/>
        <v>0.49</v>
      </c>
      <c r="H358">
        <f t="shared" si="68"/>
        <v>0.49</v>
      </c>
      <c r="I358">
        <f t="shared" si="69"/>
        <v>0.49</v>
      </c>
      <c r="J358">
        <f t="shared" si="60"/>
        <v>161.88000000000005</v>
      </c>
      <c r="K358">
        <f t="shared" si="61"/>
        <v>0</v>
      </c>
    </row>
    <row r="359" spans="1:11" x14ac:dyDescent="0.25">
      <c r="A359" s="1">
        <v>47961</v>
      </c>
      <c r="B359">
        <f t="shared" si="56"/>
        <v>23</v>
      </c>
      <c r="C359">
        <f t="shared" si="63"/>
        <v>4</v>
      </c>
      <c r="D359">
        <f t="shared" si="64"/>
        <v>2031</v>
      </c>
      <c r="E359">
        <f t="shared" si="65"/>
        <v>3</v>
      </c>
      <c r="F359">
        <f t="shared" si="66"/>
        <v>0</v>
      </c>
      <c r="G359">
        <f t="shared" si="67"/>
        <v>0.49</v>
      </c>
      <c r="H359">
        <f t="shared" si="68"/>
        <v>0.49</v>
      </c>
      <c r="I359">
        <f t="shared" si="69"/>
        <v>0.49</v>
      </c>
      <c r="J359">
        <f t="shared" si="60"/>
        <v>162.37000000000006</v>
      </c>
      <c r="K359">
        <f t="shared" si="61"/>
        <v>0</v>
      </c>
    </row>
    <row r="360" spans="1:11" x14ac:dyDescent="0.25">
      <c r="A360" s="1">
        <v>47962</v>
      </c>
      <c r="B360">
        <f t="shared" si="56"/>
        <v>24</v>
      </c>
      <c r="C360">
        <f t="shared" ref="C360:C376" si="70">MONTH(A360)</f>
        <v>4</v>
      </c>
      <c r="D360">
        <f t="shared" ref="D360:D376" si="71">YEAR(A360)</f>
        <v>2031</v>
      </c>
      <c r="E360">
        <f t="shared" ref="E360:E376" si="72">WEEKDAY(A360,2)</f>
        <v>4</v>
      </c>
      <c r="F360">
        <f t="shared" ref="F360:F376" si="73">IF(B360=1,1,0)</f>
        <v>0</v>
      </c>
      <c r="G360">
        <f t="shared" ref="G360:G376" si="74">IF(G359&lt;&gt;0,ROUNDUP(G359*0.98,2),ROUNDUP(G358*0.98,2))</f>
        <v>0.49</v>
      </c>
      <c r="H360">
        <f t="shared" ref="H360:H376" si="75">IF(F360=1,G360+G360*0.15,G360)</f>
        <v>0.49</v>
      </c>
      <c r="I360">
        <f t="shared" ref="I360:I376" si="76">IF(AND(F360=0,E360&lt;&gt;7),H360,0)</f>
        <v>0.49</v>
      </c>
      <c r="J360">
        <f t="shared" si="60"/>
        <v>162.86000000000007</v>
      </c>
      <c r="K360">
        <f t="shared" si="61"/>
        <v>0</v>
      </c>
    </row>
    <row r="361" spans="1:11" x14ac:dyDescent="0.25">
      <c r="A361" s="1">
        <v>47963</v>
      </c>
      <c r="B361">
        <f t="shared" si="56"/>
        <v>25</v>
      </c>
      <c r="C361">
        <f t="shared" si="70"/>
        <v>4</v>
      </c>
      <c r="D361">
        <f t="shared" si="71"/>
        <v>2031</v>
      </c>
      <c r="E361">
        <f t="shared" si="72"/>
        <v>5</v>
      </c>
      <c r="F361">
        <f t="shared" si="73"/>
        <v>0</v>
      </c>
      <c r="G361">
        <f t="shared" si="74"/>
        <v>0.49</v>
      </c>
      <c r="H361">
        <f t="shared" si="75"/>
        <v>0.49</v>
      </c>
      <c r="I361">
        <f t="shared" si="76"/>
        <v>0.49</v>
      </c>
      <c r="J361">
        <f t="shared" si="60"/>
        <v>163.35000000000008</v>
      </c>
      <c r="K361">
        <f t="shared" si="61"/>
        <v>0</v>
      </c>
    </row>
    <row r="362" spans="1:11" x14ac:dyDescent="0.25">
      <c r="A362" s="1">
        <v>47964</v>
      </c>
      <c r="B362">
        <f t="shared" si="56"/>
        <v>26</v>
      </c>
      <c r="C362">
        <f t="shared" si="70"/>
        <v>4</v>
      </c>
      <c r="D362">
        <f t="shared" si="71"/>
        <v>2031</v>
      </c>
      <c r="E362">
        <f t="shared" si="72"/>
        <v>6</v>
      </c>
      <c r="F362">
        <f t="shared" si="73"/>
        <v>0</v>
      </c>
      <c r="G362">
        <f t="shared" si="74"/>
        <v>0.49</v>
      </c>
      <c r="H362">
        <f t="shared" si="75"/>
        <v>0.49</v>
      </c>
      <c r="I362">
        <f t="shared" si="76"/>
        <v>0.49</v>
      </c>
      <c r="J362">
        <f t="shared" si="60"/>
        <v>163.84000000000009</v>
      </c>
      <c r="K362">
        <f t="shared" si="61"/>
        <v>0</v>
      </c>
    </row>
    <row r="363" spans="1:11" x14ac:dyDescent="0.25">
      <c r="A363" s="1">
        <v>47965</v>
      </c>
      <c r="B363">
        <f t="shared" si="56"/>
        <v>27</v>
      </c>
      <c r="C363">
        <f t="shared" si="70"/>
        <v>4</v>
      </c>
      <c r="D363">
        <f t="shared" si="71"/>
        <v>2031</v>
      </c>
      <c r="E363">
        <f t="shared" si="72"/>
        <v>7</v>
      </c>
      <c r="F363">
        <f t="shared" si="73"/>
        <v>0</v>
      </c>
      <c r="G363">
        <f t="shared" si="74"/>
        <v>0.49</v>
      </c>
      <c r="H363">
        <f t="shared" si="75"/>
        <v>0.49</v>
      </c>
      <c r="I363">
        <f t="shared" si="76"/>
        <v>0</v>
      </c>
      <c r="J363">
        <f t="shared" si="60"/>
        <v>163.84000000000009</v>
      </c>
      <c r="K363">
        <f t="shared" si="61"/>
        <v>0</v>
      </c>
    </row>
    <row r="364" spans="1:11" x14ac:dyDescent="0.25">
      <c r="A364" s="1">
        <v>47966</v>
      </c>
      <c r="B364">
        <f t="shared" si="56"/>
        <v>28</v>
      </c>
      <c r="C364">
        <f t="shared" si="70"/>
        <v>4</v>
      </c>
      <c r="D364">
        <f t="shared" si="71"/>
        <v>2031</v>
      </c>
      <c r="E364">
        <f t="shared" si="72"/>
        <v>1</v>
      </c>
      <c r="F364">
        <f t="shared" si="73"/>
        <v>0</v>
      </c>
      <c r="G364">
        <f t="shared" si="74"/>
        <v>0.49</v>
      </c>
      <c r="H364">
        <f t="shared" si="75"/>
        <v>0.49</v>
      </c>
      <c r="I364">
        <f t="shared" si="76"/>
        <v>0.49</v>
      </c>
      <c r="J364">
        <f t="shared" si="60"/>
        <v>164.3300000000001</v>
      </c>
      <c r="K364">
        <f t="shared" si="61"/>
        <v>0</v>
      </c>
    </row>
    <row r="365" spans="1:11" x14ac:dyDescent="0.25">
      <c r="A365" s="1">
        <v>47967</v>
      </c>
      <c r="B365">
        <f t="shared" si="56"/>
        <v>29</v>
      </c>
      <c r="C365">
        <f t="shared" si="70"/>
        <v>4</v>
      </c>
      <c r="D365">
        <f t="shared" si="71"/>
        <v>2031</v>
      </c>
      <c r="E365">
        <f t="shared" si="72"/>
        <v>2</v>
      </c>
      <c r="F365">
        <f t="shared" si="73"/>
        <v>0</v>
      </c>
      <c r="G365">
        <f t="shared" si="74"/>
        <v>0.49</v>
      </c>
      <c r="H365">
        <f t="shared" si="75"/>
        <v>0.49</v>
      </c>
      <c r="I365">
        <f t="shared" si="76"/>
        <v>0.49</v>
      </c>
      <c r="J365">
        <f t="shared" si="60"/>
        <v>164.82000000000011</v>
      </c>
      <c r="K365">
        <f t="shared" si="61"/>
        <v>0</v>
      </c>
    </row>
    <row r="366" spans="1:11" x14ac:dyDescent="0.25">
      <c r="A366" s="1">
        <v>47968</v>
      </c>
      <c r="B366">
        <f t="shared" si="56"/>
        <v>30</v>
      </c>
      <c r="C366">
        <f t="shared" si="70"/>
        <v>4</v>
      </c>
      <c r="D366">
        <f t="shared" si="71"/>
        <v>2031</v>
      </c>
      <c r="E366">
        <f t="shared" si="72"/>
        <v>3</v>
      </c>
      <c r="F366">
        <f t="shared" si="73"/>
        <v>0</v>
      </c>
      <c r="G366">
        <f t="shared" si="74"/>
        <v>0.49</v>
      </c>
      <c r="H366">
        <f t="shared" si="75"/>
        <v>0.49</v>
      </c>
      <c r="I366">
        <f t="shared" si="76"/>
        <v>0.49</v>
      </c>
      <c r="J366">
        <f t="shared" si="60"/>
        <v>165.31000000000012</v>
      </c>
      <c r="K366">
        <f t="shared" si="61"/>
        <v>0</v>
      </c>
    </row>
    <row r="367" spans="1:11" x14ac:dyDescent="0.25">
      <c r="A367" s="1">
        <v>47969</v>
      </c>
      <c r="B367">
        <f t="shared" si="56"/>
        <v>1</v>
      </c>
      <c r="C367">
        <f t="shared" si="70"/>
        <v>5</v>
      </c>
      <c r="D367">
        <f t="shared" si="71"/>
        <v>2031</v>
      </c>
      <c r="E367">
        <f t="shared" si="72"/>
        <v>4</v>
      </c>
      <c r="F367">
        <f t="shared" si="73"/>
        <v>1</v>
      </c>
      <c r="G367">
        <f t="shared" si="74"/>
        <v>0.49</v>
      </c>
      <c r="H367">
        <f t="shared" si="75"/>
        <v>0.5635</v>
      </c>
      <c r="I367">
        <f t="shared" si="76"/>
        <v>0</v>
      </c>
      <c r="J367">
        <f t="shared" si="60"/>
        <v>165.31000000000012</v>
      </c>
      <c r="K367">
        <f t="shared" si="61"/>
        <v>0</v>
      </c>
    </row>
    <row r="368" spans="1:11" x14ac:dyDescent="0.25">
      <c r="A368" s="1">
        <v>47970</v>
      </c>
      <c r="B368">
        <f t="shared" si="56"/>
        <v>2</v>
      </c>
      <c r="C368">
        <f t="shared" si="70"/>
        <v>5</v>
      </c>
      <c r="D368">
        <f t="shared" si="71"/>
        <v>2031</v>
      </c>
      <c r="E368">
        <f t="shared" si="72"/>
        <v>5</v>
      </c>
      <c r="F368">
        <f t="shared" si="73"/>
        <v>0</v>
      </c>
      <c r="G368">
        <f t="shared" si="74"/>
        <v>0.49</v>
      </c>
      <c r="H368">
        <f t="shared" si="75"/>
        <v>0.49</v>
      </c>
      <c r="I368">
        <f t="shared" si="76"/>
        <v>0.49</v>
      </c>
      <c r="J368">
        <f t="shared" si="60"/>
        <v>165.80000000000013</v>
      </c>
      <c r="K368">
        <f t="shared" si="61"/>
        <v>0</v>
      </c>
    </row>
    <row r="369" spans="1:11" x14ac:dyDescent="0.25">
      <c r="A369" s="1">
        <v>47971</v>
      </c>
      <c r="B369">
        <f t="shared" si="56"/>
        <v>3</v>
      </c>
      <c r="C369">
        <f t="shared" si="70"/>
        <v>5</v>
      </c>
      <c r="D369">
        <f t="shared" si="71"/>
        <v>2031</v>
      </c>
      <c r="E369">
        <f t="shared" si="72"/>
        <v>6</v>
      </c>
      <c r="F369">
        <f t="shared" si="73"/>
        <v>0</v>
      </c>
      <c r="G369">
        <f t="shared" si="74"/>
        <v>0.49</v>
      </c>
      <c r="H369">
        <f t="shared" si="75"/>
        <v>0.49</v>
      </c>
      <c r="I369">
        <f t="shared" si="76"/>
        <v>0.49</v>
      </c>
      <c r="J369">
        <f t="shared" si="60"/>
        <v>166.29000000000013</v>
      </c>
      <c r="K369">
        <f t="shared" si="61"/>
        <v>0</v>
      </c>
    </row>
    <row r="370" spans="1:11" x14ac:dyDescent="0.25">
      <c r="A370" s="1">
        <v>47972</v>
      </c>
      <c r="B370">
        <f t="shared" si="56"/>
        <v>4</v>
      </c>
      <c r="C370">
        <f t="shared" si="70"/>
        <v>5</v>
      </c>
      <c r="D370">
        <f t="shared" si="71"/>
        <v>2031</v>
      </c>
      <c r="E370">
        <f t="shared" si="72"/>
        <v>7</v>
      </c>
      <c r="F370">
        <f t="shared" si="73"/>
        <v>0</v>
      </c>
      <c r="G370">
        <f t="shared" si="74"/>
        <v>0.49</v>
      </c>
      <c r="H370">
        <f t="shared" si="75"/>
        <v>0.49</v>
      </c>
      <c r="I370">
        <f t="shared" si="76"/>
        <v>0</v>
      </c>
      <c r="J370">
        <f t="shared" si="60"/>
        <v>166.29000000000013</v>
      </c>
      <c r="K370">
        <f t="shared" si="61"/>
        <v>0</v>
      </c>
    </row>
    <row r="371" spans="1:11" x14ac:dyDescent="0.25">
      <c r="A371" s="1">
        <v>47973</v>
      </c>
      <c r="B371">
        <f t="shared" si="56"/>
        <v>5</v>
      </c>
      <c r="C371">
        <f t="shared" si="70"/>
        <v>5</v>
      </c>
      <c r="D371">
        <f t="shared" si="71"/>
        <v>2031</v>
      </c>
      <c r="E371">
        <f t="shared" si="72"/>
        <v>1</v>
      </c>
      <c r="F371">
        <f t="shared" si="73"/>
        <v>0</v>
      </c>
      <c r="G371">
        <f t="shared" si="74"/>
        <v>0.49</v>
      </c>
      <c r="H371">
        <f t="shared" si="75"/>
        <v>0.49</v>
      </c>
      <c r="I371">
        <f t="shared" si="76"/>
        <v>0.49</v>
      </c>
      <c r="J371">
        <f t="shared" si="60"/>
        <v>166.78000000000014</v>
      </c>
      <c r="K371">
        <f t="shared" si="61"/>
        <v>0</v>
      </c>
    </row>
    <row r="372" spans="1:11" x14ac:dyDescent="0.25">
      <c r="A372" s="1">
        <v>47974</v>
      </c>
      <c r="B372">
        <f t="shared" si="56"/>
        <v>6</v>
      </c>
      <c r="C372">
        <f t="shared" si="70"/>
        <v>5</v>
      </c>
      <c r="D372">
        <f t="shared" si="71"/>
        <v>2031</v>
      </c>
      <c r="E372">
        <f t="shared" si="72"/>
        <v>2</v>
      </c>
      <c r="F372">
        <f t="shared" si="73"/>
        <v>0</v>
      </c>
      <c r="G372">
        <f t="shared" si="74"/>
        <v>0.49</v>
      </c>
      <c r="H372">
        <f t="shared" si="75"/>
        <v>0.49</v>
      </c>
      <c r="I372">
        <f t="shared" si="76"/>
        <v>0.49</v>
      </c>
      <c r="J372">
        <f t="shared" si="60"/>
        <v>167.27000000000015</v>
      </c>
      <c r="K372">
        <f t="shared" si="61"/>
        <v>0</v>
      </c>
    </row>
    <row r="373" spans="1:11" x14ac:dyDescent="0.25">
      <c r="A373" s="1">
        <v>47975</v>
      </c>
      <c r="B373">
        <f t="shared" si="56"/>
        <v>7</v>
      </c>
      <c r="C373">
        <f t="shared" si="70"/>
        <v>5</v>
      </c>
      <c r="D373">
        <f t="shared" si="71"/>
        <v>2031</v>
      </c>
      <c r="E373">
        <f t="shared" si="72"/>
        <v>3</v>
      </c>
      <c r="F373">
        <f t="shared" si="73"/>
        <v>0</v>
      </c>
      <c r="G373">
        <f t="shared" si="74"/>
        <v>0.49</v>
      </c>
      <c r="H373">
        <f t="shared" si="75"/>
        <v>0.49</v>
      </c>
      <c r="I373">
        <f t="shared" si="76"/>
        <v>0.49</v>
      </c>
      <c r="J373">
        <f t="shared" si="60"/>
        <v>167.76000000000016</v>
      </c>
      <c r="K373">
        <f t="shared" si="61"/>
        <v>0</v>
      </c>
    </row>
    <row r="374" spans="1:11" x14ac:dyDescent="0.25">
      <c r="A374" s="1">
        <v>47976</v>
      </c>
      <c r="B374">
        <f t="shared" si="56"/>
        <v>8</v>
      </c>
      <c r="C374">
        <f t="shared" si="70"/>
        <v>5</v>
      </c>
      <c r="D374">
        <f t="shared" si="71"/>
        <v>2031</v>
      </c>
      <c r="E374">
        <f t="shared" si="72"/>
        <v>4</v>
      </c>
      <c r="F374">
        <f t="shared" si="73"/>
        <v>0</v>
      </c>
      <c r="G374">
        <f t="shared" si="74"/>
        <v>0.49</v>
      </c>
      <c r="H374">
        <f t="shared" si="75"/>
        <v>0.49</v>
      </c>
      <c r="I374">
        <f t="shared" si="76"/>
        <v>0.49</v>
      </c>
      <c r="J374">
        <f t="shared" si="60"/>
        <v>168.25000000000017</v>
      </c>
      <c r="K374">
        <f t="shared" si="61"/>
        <v>0</v>
      </c>
    </row>
    <row r="375" spans="1:11" x14ac:dyDescent="0.25">
      <c r="A375" s="1">
        <v>47977</v>
      </c>
      <c r="B375">
        <f t="shared" si="56"/>
        <v>9</v>
      </c>
      <c r="C375">
        <f t="shared" si="70"/>
        <v>5</v>
      </c>
      <c r="D375">
        <f t="shared" si="71"/>
        <v>2031</v>
      </c>
      <c r="E375">
        <f t="shared" si="72"/>
        <v>5</v>
      </c>
      <c r="F375">
        <f t="shared" si="73"/>
        <v>0</v>
      </c>
      <c r="G375">
        <f t="shared" si="74"/>
        <v>0.49</v>
      </c>
      <c r="H375">
        <f t="shared" si="75"/>
        <v>0.49</v>
      </c>
      <c r="I375">
        <f t="shared" si="76"/>
        <v>0.49</v>
      </c>
      <c r="J375">
        <f t="shared" si="60"/>
        <v>168.74000000000018</v>
      </c>
      <c r="K375">
        <f t="shared" si="61"/>
        <v>0</v>
      </c>
    </row>
    <row r="376" spans="1:11" x14ac:dyDescent="0.25">
      <c r="A376" s="1">
        <v>47978</v>
      </c>
      <c r="B376">
        <f t="shared" si="56"/>
        <v>10</v>
      </c>
      <c r="C376">
        <f t="shared" si="70"/>
        <v>5</v>
      </c>
      <c r="D376">
        <f t="shared" si="71"/>
        <v>2031</v>
      </c>
      <c r="E376">
        <f t="shared" si="72"/>
        <v>6</v>
      </c>
      <c r="F376">
        <f t="shared" si="73"/>
        <v>0</v>
      </c>
      <c r="G376">
        <f t="shared" si="74"/>
        <v>0.49</v>
      </c>
      <c r="H376">
        <f t="shared" si="75"/>
        <v>0.49</v>
      </c>
      <c r="I376">
        <f t="shared" si="76"/>
        <v>0.49</v>
      </c>
      <c r="J376">
        <f t="shared" si="60"/>
        <v>169.23000000000019</v>
      </c>
      <c r="K376">
        <f t="shared" si="61"/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matura</dc:creator>
  <cp:lastModifiedBy>matura</cp:lastModifiedBy>
  <dcterms:created xsi:type="dcterms:W3CDTF">2026-03-15T09:11:23Z</dcterms:created>
  <dcterms:modified xsi:type="dcterms:W3CDTF">2026-03-15T11:05:01Z</dcterms:modified>
</cp:coreProperties>
</file>